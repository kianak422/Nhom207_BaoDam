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oVat_AutomationTesting\"/>
    </mc:Choice>
  </mc:AlternateContent>
  <xr:revisionPtr revIDLastSave="0" documentId="13_ncr:1_{3D4FF03D-1DC0-46F5-ABDB-93E5249FFAC6}" xr6:coauthVersionLast="47" xr6:coauthVersionMax="47" xr10:uidLastSave="{00000000-0000-0000-0000-000000000000}"/>
  <bookViews>
    <workbookView xWindow="-120" yWindow="-120" windowWidth="29040" windowHeight="15720" firstSheet="2" activeTab="10" xr2:uid="{00000000-000D-0000-FFFF-FFFF00000000}"/>
  </bookViews>
  <sheets>
    <sheet name="Cover Page" sheetId="3" r:id="rId1"/>
    <sheet name="Test Requirements" sheetId="1" r:id="rId2"/>
    <sheet name="Test Scenario" sheetId="11" r:id="rId3"/>
    <sheet name="Test Req Intergration" sheetId="12" r:id="rId4"/>
    <sheet name="Integration TestCase" sheetId="13" r:id="rId5"/>
    <sheet name="TCs - F1" sheetId="4" r:id="rId6"/>
    <sheet name="TCs - F2" sheetId="6" r:id="rId7"/>
    <sheet name="TCs - F3" sheetId="8" r:id="rId8"/>
    <sheet name="TCs - F4" sheetId="7" r:id="rId9"/>
    <sheet name="TCs - F5" sheetId="5" r:id="rId10"/>
    <sheet name="TCs - F6" sheetId="15" r:id="rId11"/>
    <sheet name="TCs - F7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3" i="15" l="1"/>
  <c r="M30" i="15"/>
  <c r="M23" i="15"/>
  <c r="M17" i="15"/>
  <c r="M94" i="5"/>
  <c r="M90" i="5"/>
  <c r="M70" i="5"/>
  <c r="M66" i="5"/>
  <c r="M27" i="5"/>
  <c r="M25" i="5"/>
  <c r="M13" i="5"/>
  <c r="M3" i="5"/>
  <c r="M88" i="7"/>
  <c r="M86" i="7"/>
  <c r="M84" i="7"/>
  <c r="M80" i="7"/>
  <c r="M77" i="7"/>
  <c r="M74" i="7"/>
  <c r="M71" i="7"/>
  <c r="M68" i="7"/>
  <c r="M65" i="7"/>
  <c r="M63" i="7"/>
  <c r="M60" i="7"/>
  <c r="M58" i="7"/>
  <c r="M55" i="7"/>
  <c r="M52" i="7"/>
  <c r="M49" i="7"/>
  <c r="M47" i="7"/>
  <c r="M44" i="7"/>
  <c r="M41" i="7"/>
  <c r="M39" i="7"/>
  <c r="M37" i="7"/>
  <c r="M35" i="7"/>
  <c r="M33" i="7"/>
  <c r="M31" i="7"/>
  <c r="M29" i="7"/>
  <c r="M27" i="7"/>
  <c r="M25" i="7"/>
  <c r="M23" i="7"/>
  <c r="M21" i="7"/>
  <c r="M17" i="7"/>
  <c r="M15" i="7"/>
  <c r="M13" i="7"/>
  <c r="M11" i="7"/>
  <c r="M9" i="7"/>
  <c r="M7" i="7"/>
  <c r="M5" i="7"/>
  <c r="M3" i="7"/>
  <c r="M97" i="8"/>
  <c r="M95" i="8"/>
  <c r="M93" i="8"/>
  <c r="M91" i="8"/>
  <c r="M89" i="8"/>
  <c r="M87" i="8"/>
  <c r="M85" i="8"/>
  <c r="M83" i="8"/>
  <c r="M81" i="8"/>
  <c r="M79" i="8"/>
  <c r="M73" i="8"/>
  <c r="M69" i="8"/>
  <c r="M67" i="8"/>
  <c r="M65" i="8"/>
  <c r="M63" i="8"/>
  <c r="M61" i="8"/>
  <c r="M59" i="8"/>
  <c r="M57" i="8"/>
  <c r="M55" i="8"/>
  <c r="M53" i="8"/>
  <c r="M49" i="8"/>
  <c r="M47" i="8"/>
  <c r="M45" i="8"/>
  <c r="M43" i="8"/>
  <c r="M41" i="8"/>
  <c r="M39" i="8"/>
  <c r="M37" i="8"/>
  <c r="M35" i="8"/>
  <c r="M33" i="8"/>
  <c r="M31" i="8"/>
  <c r="M29" i="8"/>
  <c r="M27" i="8"/>
  <c r="M25" i="8"/>
  <c r="M23" i="8"/>
  <c r="M21" i="8"/>
  <c r="M19" i="8"/>
  <c r="M17" i="8"/>
  <c r="M15" i="8"/>
  <c r="M13" i="8"/>
  <c r="M11" i="8"/>
  <c r="M9" i="8"/>
  <c r="M7" i="8"/>
  <c r="M5" i="8"/>
  <c r="M3" i="8"/>
  <c r="M25" i="13"/>
  <c r="M21" i="13"/>
  <c r="M18" i="13"/>
  <c r="M14" i="13"/>
  <c r="M5" i="13"/>
  <c r="M2" i="13"/>
  <c r="AG35" i="3"/>
</calcChain>
</file>

<file path=xl/sharedStrings.xml><?xml version="1.0" encoding="utf-8"?>
<sst xmlns="http://schemas.openxmlformats.org/spreadsheetml/2006/main" count="3572" uniqueCount="2274">
  <si>
    <t>WEB Rao Vặt</t>
  </si>
  <si>
    <t>Passed</t>
  </si>
  <si>
    <t>ĐÁNH GIÁ TIẾN ĐỘ 07</t>
  </si>
  <si>
    <t>Failed</t>
  </si>
  <si>
    <t>MSSV</t>
  </si>
  <si>
    <t>Tên thành viên</t>
  </si>
  <si>
    <t>Nhiệm vụ</t>
  </si>
  <si>
    <t>Not Executed</t>
  </si>
  <si>
    <t>23DH114336</t>
  </si>
  <si>
    <t>Lê Quang Huy</t>
  </si>
  <si>
    <t>Thiết kế và xử lý auto F1. Authentication
F2. User Profile  , F4. Search</t>
  </si>
  <si>
    <t>23DH110429</t>
  </si>
  <si>
    <t>Nguyễn Minh Danh</t>
  </si>
  <si>
    <t>Thiết kế và xử lý auto TestCase F3. Post Management</t>
  </si>
  <si>
    <t>23DH110890</t>
  </si>
  <si>
    <t>Nguyễn Phi Nhật Hào</t>
  </si>
  <si>
    <t>Thiết kế và xử lý auto TestCaseF5. User Interaction</t>
  </si>
  <si>
    <t>23DH110505</t>
  </si>
  <si>
    <t>Nguyễn Đình Duy</t>
  </si>
  <si>
    <t>Thiết kế và xử lý auto TestCaseF5,F7. Admin Dashboard, F6. Payment &amp; VIP (17)</t>
  </si>
  <si>
    <t>TEST SUMMARY REPORT</t>
  </si>
  <si>
    <t>OVERALL INFORMATION</t>
  </si>
  <si>
    <t>WEB RAO VẶT</t>
  </si>
  <si>
    <t>Test Purpose</t>
  </si>
  <si>
    <t>Test Function</t>
  </si>
  <si>
    <t>Number of testers</t>
  </si>
  <si>
    <t>OVERALL STATUS</t>
  </si>
  <si>
    <t>Total Number of Test Cases</t>
  </si>
  <si>
    <t>Executed</t>
  </si>
  <si>
    <t>Total Tests Executed
(Passed + Failed)</t>
  </si>
  <si>
    <t>Test Subject</t>
  </si>
  <si>
    <t>Priority</t>
  </si>
  <si>
    <t>Total Test Cases</t>
  </si>
  <si>
    <t>Test Runs</t>
  </si>
  <si>
    <t>Comments</t>
  </si>
  <si>
    <t>Status</t>
  </si>
  <si>
    <t>Fail Rate</t>
  </si>
  <si>
    <t>F1. Authentication</t>
  </si>
  <si>
    <t>High</t>
  </si>
  <si>
    <t>Kịch bản chi tiết nhưng chưa thực thi chạy kết quả; cần hoàn thành ngay vì đây là module lõi và bổ sung thêm test chống spam (Rate Limiting).</t>
  </si>
  <si>
    <t>F2. User Profile</t>
  </si>
  <si>
    <t>Medium</t>
  </si>
  <si>
    <t xml:space="preserve">  </t>
  </si>
  <si>
    <t>F3. Post Management</t>
  </si>
  <si>
    <t>Kịch bản xuất sắc, phát hiện lỗi thiếu validation giới hạn độ dài tiêu đề; cần kiểm thử nốt phần Lưu nháp và Thích bài đang bỏ trống.</t>
  </si>
  <si>
    <t>F4. Search</t>
  </si>
  <si>
    <t>Kịch bản chặt chẽ; phát hiện lỗi hiệu năng nghiêm trọng (bị treo Timeout) khi lọc kết hợp nhiều điều kiện, Dev cần tối ưu lại Query/Index.</t>
  </si>
  <si>
    <t>F5. User Interaction</t>
  </si>
  <si>
    <t>Kịch bản tốt; phát hiện lỗi UI/UX không khóa nút gửi khi tin nhắn rỗng hoặc vượt quá số ký tự; cần kiểm thử nốt phần Comment.</t>
  </si>
  <si>
    <t>F6. Payment &amp; VIP</t>
  </si>
  <si>
    <t>Kịch bản rõ ràng; phát hiện nhiều lỗi bảo mật rủi ro rất cao: hệ thống chấp nhận thanh toán thẻ rác/form rỗng, dễ bị thao túng giá tiền bằng F12 và lỗi treo luồng khi reload trang.</t>
  </si>
  <si>
    <t>F7. Admin Dashboard</t>
  </si>
  <si>
    <t>Kịch bản bao quát; phát hiện bug bảo mật (user bị khóa nick vẫn thao tác được), lỗi UI ẩn form nhập liệu và không cập nhật lại giao diện sau khi xóa bài; chưa test phần Quản lý danh mục.</t>
  </si>
  <si>
    <t>General Information</t>
  </si>
  <si>
    <t>Project</t>
  </si>
  <si>
    <t>Web Rao Vặt</t>
  </si>
  <si>
    <t>Test Designed By</t>
  </si>
  <si>
    <t>Reviewed By</t>
  </si>
  <si>
    <t>Test Designed Date</t>
  </si>
  <si>
    <t>Reviewed Date</t>
  </si>
  <si>
    <t xml:space="preserve"> </t>
  </si>
  <si>
    <t>No</t>
  </si>
  <si>
    <t>Test Requirement ID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</si>
  <si>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</si>
  <si>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</si>
  <si>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</si>
  <si>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</si>
  <si>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</si>
  <si>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</si>
  <si>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</si>
  <si>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F1</t>
  </si>
  <si>
    <t>Authentication</t>
  </si>
  <si>
    <t>Quản lý xác thực người dùng</t>
  </si>
  <si>
    <t>Kiểm tra đăng ký, đăng nhập, đăng xuất, đổi mật khẩu</t>
  </si>
  <si>
    <t>Functional</t>
  </si>
  <si>
    <t>Hệ thống sử dụng Firebase Auth/JWT. Bao gồm tạo tài khoản, đăng nhập, đăng xuất và đổi mật khẩu. Cần test chặt chẽ session và validation.</t>
  </si>
  <si>
    <t>F1.1</t>
  </si>
  <si>
    <t>Register</t>
  </si>
  <si>
    <t>Đăng ký tài khoản</t>
  </si>
  <si>
    <t>Kiểm tra đăng ký thành công, email trùng, dữ liệu sai</t>
  </si>
  <si>
    <t>Email hợp lệ, không trùng lặp, password đạt độ mạnh, xử lý lỗi hiển thị rõ ràng cho người dùng.</t>
  </si>
  <si>
    <t>F1.2</t>
  </si>
  <si>
    <t>Login</t>
  </si>
  <si>
    <t>Đăng nhập tài khoản</t>
  </si>
  <si>
    <t>Kiểm tra login thành công, sai mật khẩu, tài khoản không tồn tại</t>
  </si>
  <si>
    <t>Xác thực đúng thông tin, thông báo lỗi nếu sai mật khẩu hoặc nick bị khóa. Điều hướng đúng sau khi login.</t>
  </si>
  <si>
    <t>F1.3</t>
  </si>
  <si>
    <t>Logout</t>
  </si>
  <si>
    <t>Đăng xuất</t>
  </si>
  <si>
    <t>Kiểm tra người dùng logout khỏi hệ thống</t>
  </si>
  <si>
    <t>Hủy toàn bộ phiên đăng nhập (Session/Token). Chặn truy cập lại bằng nút Back của trình duyệt.</t>
  </si>
  <si>
    <t>F1.4</t>
  </si>
  <si>
    <t>Change Password</t>
  </si>
  <si>
    <t>Đổi mật khẩu</t>
  </si>
  <si>
    <t>Kiểm tra đổi mật khẩu thành công, nhập sai mật khẩu cũ</t>
  </si>
  <si>
    <t>Xác thực mật khẩu cũ phải khớp. Mật khẩu mới không được trùng mật khẩu cũ và phải đạt chuẩn độ dài tối thiểu.</t>
  </si>
  <si>
    <t>F2</t>
  </si>
  <si>
    <t>User Profile</t>
  </si>
  <si>
    <t>Quản lý hồ sơ người dùng</t>
  </si>
  <si>
    <t>Kiểm tra xem, chỉnh sửa thông tin cá nhân và hồ sơ công khai</t>
  </si>
  <si>
    <t>Quản lý thông tin định danh của user trên nền tảng. Bao gồm cả view của chủ tài khoản và view của khách hàng.</t>
  </si>
  <si>
    <t>F2.1</t>
  </si>
  <si>
    <t>View &amp; Setup Profile</t>
  </si>
  <si>
    <t>Xem &amp; Thiết lập hồ sơ</t>
  </si>
  <si>
    <t>Kiểm tra hiển thị thông tin user và luồng setup ban đầu</t>
  </si>
  <si>
    <t>Hiển thị đủ Avatar, Tên, Ngày tham gia. Luồng setup lần đầu yêu cầu điền đủ thông tin cơ bản.</t>
  </si>
  <si>
    <t>F2.2</t>
  </si>
  <si>
    <t>Update Profile</t>
  </si>
  <si>
    <t>Cập nhật thông tin</t>
  </si>
  <si>
    <t>Kiểm tra cập nhật tên, avatar, số điện thoại, địa chỉ</t>
  </si>
  <si>
    <t>Validate định dạng số điện thoại, giới hạn dung lượng và định dạng ảnh Avatar khi upload.</t>
  </si>
  <si>
    <t>F2.3</t>
  </si>
  <si>
    <t>Public Profile</t>
  </si>
  <si>
    <t>Xem hồ sơ công khai</t>
  </si>
  <si>
    <t>Kiểm tra hiển thị thông tin của user khác (người bán/mua)</t>
  </si>
  <si>
    <t>Low</t>
  </si>
  <si>
    <t>Giao diện Public chỉ hiển thị các bài viết đang "Active". Có nút Chat (ẩn đi nếu đang tự xem profile chính mình).</t>
  </si>
  <si>
    <t>F3</t>
  </si>
  <si>
    <t>Post Management</t>
  </si>
  <si>
    <t>Quản lý tin rao vặt (User)</t>
  </si>
  <si>
    <t>Kiểm tra luồng tạo, sửa, xóa và quản lý tin</t>
  </si>
  <si>
    <t>Module cốt lõi. User quản lý vòng đời bài viết: Nháp, Chờ duyệt, Đang bán, Đã ẩn, Đã bán, Bị từ chối (Dựa theo ManagePosts.jsx).</t>
  </si>
  <si>
    <t>F3.1</t>
  </si>
  <si>
    <t>Create Post</t>
  </si>
  <si>
    <t>Đăng bài</t>
  </si>
  <si>
    <t>Kiểm tra đăng bài, upload ảnh, validate dữ liệu</t>
  </si>
  <si>
    <t>Upload tối đa 5 ảnh (Cloudinary). Form phụ thuộc Dropdown Vị trí (Tỉnh-&gt;Huyện-&gt;Xã). Validate bắt buộc Tiêu đề, Giá, Danh mục.</t>
  </si>
  <si>
    <t>F3.2</t>
  </si>
  <si>
    <t>Edit &amp; Delete Post</t>
  </si>
  <si>
    <t>Sửa/Xóa bài</t>
  </si>
  <si>
    <t>Kiểm tra cập nhật nội dung, xóa bài đăng của chính mình</t>
  </si>
  <si>
    <t>Sửa bài chờ duyệt không làm đổi trạng thái. Có Modal xác nhận trước khi Xóa/Ẩn.</t>
  </si>
  <si>
    <t>F3.3</t>
  </si>
  <si>
    <t>Draft &amp; Preview</t>
  </si>
  <si>
    <t>Lưu nháp &amp; Xem trước</t>
  </si>
  <si>
    <t>Kiểm tra tính năng lưu nháp và xem trước bài viết</t>
  </si>
  <si>
    <t>Bấm Lưu nháp không cần validate full field. Tính năng Preview render giao diện giả lập qua SessionStorage.</t>
  </si>
  <si>
    <t>F3.4</t>
  </si>
  <si>
    <t>Liked Posts</t>
  </si>
  <si>
    <t>Tin đã lưu/thích</t>
  </si>
  <si>
    <t>Kiểm tra thêm/bỏ thích và danh sách tin đã lưu</t>
  </si>
  <si>
    <t>Gọi hàm Unlike, kiểm tra logic tự động dọn rác (deadIds) nếu bài đăng gốc đã bị xóa mất khỏi DB.</t>
  </si>
  <si>
    <t>F4</t>
  </si>
  <si>
    <t>Search &amp; Browse</t>
  </si>
  <si>
    <t>Tìm kiếm &amp; Phân loại</t>
  </si>
  <si>
    <t>Kiểm tra hiển thị, bộ lọc và tìm kiếm</t>
  </si>
  <si>
    <t>Dựa trên FilterBar và Search Params trên URL. Cho phép tìm kiếm tổ hợp nhiều tiêu chí.</t>
  </si>
  <si>
    <t>F4.1</t>
  </si>
  <si>
    <t>Browse Categories</t>
  </si>
  <si>
    <t>Xem theo danh mục</t>
  </si>
  <si>
    <t>Kiểm tra hiển thị danh sách tin theo từng Category</t>
  </si>
  <si>
    <t>Click danh mục cha hiển thị cả sản phẩm danh mục con. Phân trang hoặc loadmore khi danh sách dài.</t>
  </si>
  <si>
    <t>F4.2</t>
  </si>
  <si>
    <t>Keyword Search</t>
  </si>
  <si>
    <t>Tìm theo từ khóa</t>
  </si>
  <si>
    <t>Kiểm tra kết quả tìm kiếm đúng từ khóa, xử lý rỗng</t>
  </si>
  <si>
    <t>Trim khoảng trắng, tìm kiếm không dấu/không phân biệt hoa thường. Chống lỗi XSS/SQL Injection ở ô input.</t>
  </si>
  <si>
    <t>F4.3</t>
  </si>
  <si>
    <t>Filter by Attributes</t>
  </si>
  <si>
    <t>Lọc nâng cao</t>
  </si>
  <si>
    <t>Kiểm tra bộ lọc giá, vị trí, danh mục, tình trạng</t>
  </si>
  <si>
    <t>Validate Giá Từ phải &lt;= Giá Đến. Lọc chính xác Vị trí dựa theo locationService. Test nút Clear Filters.</t>
  </si>
  <si>
    <t>F5</t>
  </si>
  <si>
    <t>User Interaction</t>
  </si>
  <si>
    <t>Tương tác giữa người dùng</t>
  </si>
  <si>
    <t>Kiểm tra nhắn tin và bình luận</t>
  </si>
  <si>
    <t>Tương tác giữa Người Mua và Người Bán. Cần test realtime và các quyền hạn thao tác (Xóa, chặn).</t>
  </si>
  <si>
    <t>F5.1</t>
  </si>
  <si>
    <t>Chat</t>
  </si>
  <si>
    <t>Nhắn tin trực tiếp</t>
  </si>
  <si>
    <t>Kiểm tra gửi/nhận tin nhắn realtime giữa người mua - bán</t>
  </si>
  <si>
    <t>Gửi/nhận realtime không cần F5. Nổi phòng chat lên đầu khi có tin mới. Xử lý tin nhắn khi Offline.</t>
  </si>
  <si>
    <t>F5.2</t>
  </si>
  <si>
    <t>Commenting</t>
  </si>
  <si>
    <t>Bình luận</t>
  </si>
  <si>
    <t>Kiểm tra thêm/xóa bình luận trên tin rao vặt</t>
  </si>
  <si>
    <t>Chống Spam, chống XSS. Chủ bài viết có quyền xóa bình luận của khách. Khách chỉ xóa được cmt của mình.</t>
  </si>
  <si>
    <t>F6</t>
  </si>
  <si>
    <t>Payment &amp; VIP</t>
  </si>
  <si>
    <t>Thanh toán &amp; Nâng cấp VIP</t>
  </si>
  <si>
    <t>Kiểm tra luồng thanh toán và quyền lợi VIP</t>
  </si>
  <si>
    <t>Luồng thu phí của ứng dụng. Liên quan đến tạo session thanh toán và gia hạn ngày VIP.</t>
  </si>
  <si>
    <t>F6.1</t>
  </si>
  <si>
    <t>Upgrade VIP</t>
  </si>
  <si>
    <t>Nâng cấp tài khoản</t>
  </si>
  <si>
    <t>Kiểm tra chọn gói VIP, quyền lợi đẩy tin lên top</t>
  </si>
  <si>
    <t>Chọn các gói thời gian khác nhau (1T, 3T, 1N). Logic cộng dồn thời gian nếu đang là VIP mà mua thêm gói.</t>
  </si>
  <si>
    <t>F6.2</t>
  </si>
  <si>
    <t>Process Payment</t>
  </si>
  <si>
    <t>Xử lý thanh toán</t>
  </si>
  <si>
    <t>Kiểm tra tích hợp cổng thanh toán, thanh toán thành công/thất bại</t>
  </si>
  <si>
    <t>Render đúng QR Code kèm số tiền và ID đơn hàng. Hỗ trợ Countdown Timer. Callback tự động chuyển trạng thái.</t>
  </si>
  <si>
    <t>F6.3</t>
  </si>
  <si>
    <t>Transaction History</t>
  </si>
  <si>
    <t>Lịch sử giao dịch</t>
  </si>
  <si>
    <t>Kiểm tra lưu trữ và hiển thị đúng lịch sử nạp/mua gói</t>
  </si>
  <si>
    <t>Bảng danh sách các giao dịch. Lọc theo trạng thái (Thành công/Đã hủy) và khoảng thời gian (Từ ngày - Đến ngày).</t>
  </si>
  <si>
    <t>F7</t>
  </si>
  <si>
    <t>Admin Dashboard</t>
  </si>
  <si>
    <t>Hệ thống Quản trị (Admin)</t>
  </si>
  <si>
    <t>Kiểm tra các chức năng quản lý tổng thể</t>
  </si>
  <si>
    <t>Khu vực đặc quyền của Admin. Yêu cầu bảo mật URL tuyệt đối để chặn User thường xâm nhập.</t>
  </si>
  <si>
    <t>F7.1</t>
  </si>
  <si>
    <t>Manage Users</t>
  </si>
  <si>
    <t>Quản lý người dùng</t>
  </si>
  <si>
    <t>Admin xem danh sách, khóa (ban), mở khóa, phân quyền</t>
  </si>
  <si>
    <t>Search user theo email. Cập nhật trạng thái Khóa/Mở khóa tức thì. User bị khóa sẽ văng khỏi ứng dụng.</t>
  </si>
  <si>
    <t>F7.2</t>
  </si>
  <si>
    <t>Manage Posts</t>
  </si>
  <si>
    <t>Quản lý &amp; Duyệt bài</t>
  </si>
  <si>
    <t>Admin duyệt bài, ẩn/xóa bài vi phạm</t>
  </si>
  <si>
    <t>Tab Chờ duyệt: Chấp nhận hoặc Từ chối (bắt buộc nhập lý do để gửi Noti cho User). Tab Hiển thị: Xóa bài vi phạm.</t>
  </si>
  <si>
    <t>F7.3</t>
  </si>
  <si>
    <t>Manage Categories</t>
  </si>
  <si>
    <t>Quản lý danh mục</t>
  </si>
  <si>
    <t>Admin thêm, sửa, xóa danh mục sản phẩm</t>
  </si>
  <si>
    <t>Bắt lỗi trùng tên danh mục. Upload icon hợp lệ. Chặn xóa các danh mục đang chứa bài viết (Bảo vệ toàn vẹn dữ liệu).</t>
  </si>
  <si>
    <t>F7.4</t>
  </si>
  <si>
    <t>Dashboard &amp; Routing</t>
  </si>
  <si>
    <t>Thống kê &amp; Phân quyền Admin</t>
  </si>
  <si>
    <t>Kiểm tra biểu đồ doanh thu, tổng user và bảo mật URL</t>
  </si>
  <si>
    <t>Thống kê số liệu khớp với Database. Bảo vệ an ninh: Chặn User thường và Guest truy cập vào prefix /admin.</t>
  </si>
  <si>
    <t>No.</t>
  </si>
  <si>
    <t>Module</t>
  </si>
  <si>
    <t>Requirement ID</t>
  </si>
  <si>
    <t>Scenario ID</t>
  </si>
  <si>
    <t>Kịch Bản Kiểm Thử</t>
  </si>
  <si>
    <t>Bao gồm các Test Cases tiêu biểu</t>
  </si>
  <si>
    <t>F1. Auth</t>
  </si>
  <si>
    <t>TS_F1_01</t>
  </si>
  <si>
    <t>Kiểm tra form Đăng ký với dữ liệu hợp lệ</t>
  </si>
  <si>
    <t>Nhập đúng email, pass, tên -&gt; Thành công</t>
  </si>
  <si>
    <t>TS_F1_02</t>
  </si>
  <si>
    <t>Kiểm tra bắt lỗi (Validation) form Đăng ký</t>
  </si>
  <si>
    <t>Bỏ trống, email sai định dạng, pass yếu</t>
  </si>
  <si>
    <t>TS_F1_03</t>
  </si>
  <si>
    <t>Kiểm tra Đăng ký với Email đã tồn tại</t>
  </si>
  <si>
    <t>Nhập email đã có trong DB</t>
  </si>
  <si>
    <t>TS_F1_04</t>
  </si>
  <si>
    <t>Kiểm tra Đăng nhập thành công</t>
  </si>
  <si>
    <t>Nhập đúng email và mật khẩu</t>
  </si>
  <si>
    <t>TS_F1_05</t>
  </si>
  <si>
    <t>Kiểm tra Đăng nhập thất bại do sai thông tin</t>
  </si>
  <si>
    <t>Sai pass, sai email, bỏ trống</t>
  </si>
  <si>
    <t>TS_F1_06</t>
  </si>
  <si>
    <t>Kiểm tra Đăng nhập với tài khoản bị Admin khóa</t>
  </si>
  <si>
    <t>Nhập nick bị Ban -&gt; Báo lỗi</t>
  </si>
  <si>
    <t>TS_F1_07</t>
  </si>
  <si>
    <t>Kiểm tra chức năng Đăng xuất</t>
  </si>
  <si>
    <t>Bấm đăng xuất, không back lại được</t>
  </si>
  <si>
    <t>TS_F1_08</t>
  </si>
  <si>
    <t>Kiểm tra Đổi mật khẩu thành công</t>
  </si>
  <si>
    <t>Nhập đúng pass cũ, pass mới mạnh</t>
  </si>
  <si>
    <t>TS_F1_09</t>
  </si>
  <si>
    <t>Kiểm tra bắt lỗi form Đổi mật khẩu</t>
  </si>
  <si>
    <t>Pass cũ sai, pass mới trùng pass cũ</t>
  </si>
  <si>
    <t>F2. Profile</t>
  </si>
  <si>
    <t>TS_F2_10</t>
  </si>
  <si>
    <t>Kiểm tra cập nhật thông tin cá nhân (Tên, Đ/c)</t>
  </si>
  <si>
    <t>Lưu thông tin Text thành công</t>
  </si>
  <si>
    <t>TS_F2_11</t>
  </si>
  <si>
    <t>Kiểm tra Upload Avatar cá nhân</t>
  </si>
  <si>
    <t>Đổi ảnh, ảnh quá nặng, sai định dạng</t>
  </si>
  <si>
    <t>TS_F2_12</t>
  </si>
  <si>
    <t>Kiểm tra xem Public Profile của người khác</t>
  </si>
  <si>
    <t>Xem đúng avatar, ngày tham gia, số bài</t>
  </si>
  <si>
    <t>TS_F2_13</t>
  </si>
  <si>
    <t>Kiểm tra giới hạn quyền trên Public Profile</t>
  </si>
  <si>
    <t>Guest bị chặn chat, không tự chat với mình</t>
  </si>
  <si>
    <t>F3. Post</t>
  </si>
  <si>
    <t>TS_F3_14</t>
  </si>
  <si>
    <t>Kiểm tra form Đăng tin khi thiếu dữ liệu bắt buộc</t>
  </si>
  <si>
    <t>Bỏ trống tiêu đề, giá, danh mục</t>
  </si>
  <si>
    <t>TS_F3_15</t>
  </si>
  <si>
    <t>Kiểm tra ranh giới (BVA) của trường Tiêu đề</t>
  </si>
  <si>
    <t>Nhập quá giới hạn 100 ký tự</t>
  </si>
  <si>
    <t>TS_F3_16</t>
  </si>
  <si>
    <t>Kiểm tra ranh giới (BVA) của trường Giá bán</t>
  </si>
  <si>
    <t>Nhập giá âm, chữ cái, giá bằng 0</t>
  </si>
  <si>
    <t>TS_F3_17</t>
  </si>
  <si>
    <t>Kiểm tra logic Dropdown Khu vực địa lý</t>
  </si>
  <si>
    <t>Chọn Tỉnh -&gt; load đúng Huyện -&gt; load đúng Xã</t>
  </si>
  <si>
    <t>TS_F3_18</t>
  </si>
  <si>
    <t>Kiểm tra chức năng Upload Ảnh bài viết</t>
  </si>
  <si>
    <t>Chọn 1 ảnh, 5 ảnh, vượt 5 ảnh, sai định dạng</t>
  </si>
  <si>
    <t>TS_F3_19</t>
  </si>
  <si>
    <t>Kiểm tra luồng Đăng bài thành công</t>
  </si>
  <si>
    <t>Nhập đủ data -&gt; Bấm đăng -&gt; Hiện Toast</t>
  </si>
  <si>
    <t>TS_F3_20</t>
  </si>
  <si>
    <t>Kiểm tra chức năng Lưu nháp bài viết</t>
  </si>
  <si>
    <t>Nhập 1 nửa, bấm Lưu nháp</t>
  </si>
  <si>
    <t>TS_F3_21</t>
  </si>
  <si>
    <t>Kiểm tra Xem trước (Preview) bài viết</t>
  </si>
  <si>
    <t>Bấm xem trước giao diện trước khi đăng</t>
  </si>
  <si>
    <t>TS_F3_22</t>
  </si>
  <si>
    <t>Kiểm tra Cập nhật (Edit) bài viết cũ</t>
  </si>
  <si>
    <t>Thay giá, đổi ảnh -&gt; Lưu</t>
  </si>
  <si>
    <t>TS_F3_23</t>
  </si>
  <si>
    <t>Kiểm tra chức năng Ẩn/Hiện bài viết</t>
  </si>
  <si>
    <t>Đổi trạng thái bài đang bán thành Đã ẩn</t>
  </si>
  <si>
    <t>TS_F3_24</t>
  </si>
  <si>
    <t>Kiểm tra đánh dấu Đã bán</t>
  </si>
  <si>
    <t>Chuyển bài thành trạng thái Đã bán</t>
  </si>
  <si>
    <t>TS_F3_25</t>
  </si>
  <si>
    <t>Kiểm tra Xóa bài viết cá nhân</t>
  </si>
  <si>
    <t>Confirm xóa, Hủy xóa</t>
  </si>
  <si>
    <t>TS_F3_26</t>
  </si>
  <si>
    <t>Kiểm tra chức năng Lưu tin (Thích bài viết)</t>
  </si>
  <si>
    <t>Bấm tim, kiểm tra list Tin đã lưu</t>
  </si>
  <si>
    <t>TS_F3_27</t>
  </si>
  <si>
    <t>Kiểm tra Hủy lưu tin</t>
  </si>
  <si>
    <t>Bỏ tim trực tiếp hoặc trong list</t>
  </si>
  <si>
    <t>TS_F4_28</t>
  </si>
  <si>
    <t>Kiểm tra Tìm kiếm với từ khóa chính xác</t>
  </si>
  <si>
    <t>Gõ "iPhone 13" ra đúng bài</t>
  </si>
  <si>
    <t>TS_F4_29</t>
  </si>
  <si>
    <t>Kiểm tra Tìm kiếm từ khóa không có kết quả</t>
  </si>
  <si>
    <t>Gõ từ vô nghĩa -&gt; Hiện báo lỗi rỗng</t>
  </si>
  <si>
    <t>TS_F4_30</t>
  </si>
  <si>
    <t>Kiểm tra Tìm kiếm bỏ qua phân biệt chữ Hoa/Thường/Dấu</t>
  </si>
  <si>
    <t>Gõ "dien thoai", "IPHONE"</t>
  </si>
  <si>
    <t>TS_F4_31</t>
  </si>
  <si>
    <t>Kiểm tra bảo mật form Tìm kiếm (XSS/SQLi)</t>
  </si>
  <si>
    <t>Gõ thẻ</t>
  </si>
  <si>
    <t>&lt;script&gt;</t>
  </si>
  <si>
    <t>, OR 1=1</t>
  </si>
  <si>
    <t>TS_F4_32</t>
  </si>
  <si>
    <t>Kiểm tra Lọc theo Danh mục</t>
  </si>
  <si>
    <t>Bấm chọn DM Đồ điện tử</t>
  </si>
  <si>
    <t>TS_F4_33</t>
  </si>
  <si>
    <t>Kiểm tra Lọc theo Vị trí (Tỉnh/Quận)</t>
  </si>
  <si>
    <t>Chọn HCM, Quận 1</t>
  </si>
  <si>
    <t>TS_F4_34</t>
  </si>
  <si>
    <t>Kiểm tra Lọc theo Khoảng giá (Từ - Đến)</t>
  </si>
  <si>
    <t>Nhập từ 1tr đến 5tr</t>
  </si>
  <si>
    <t>TS_F4_35</t>
  </si>
  <si>
    <t>Kiểm tra validation của ô Lọc Giá</t>
  </si>
  <si>
    <t>Giá Từ &gt; Giá Đến, giá âm</t>
  </si>
  <si>
    <t>TS_F4_36</t>
  </si>
  <si>
    <t>Kiểm tra Lọc kết hợp nhiều điều kiện (Multi-filter)</t>
  </si>
  <si>
    <t>Lọc DM + Tỉnh + Giá cùng lúc</t>
  </si>
  <si>
    <t>TS_F4_37</t>
  </si>
  <si>
    <t>Kiểm tra chức năng Xóa bộ lọc (Clear Filters)</t>
  </si>
  <si>
    <t>Bấm xóa bộ lọc, reset danh sách</t>
  </si>
  <si>
    <t>TS_F4_38</t>
  </si>
  <si>
    <t>Kiểm tra sắp xếp (Sort) bài đăng</t>
  </si>
  <si>
    <t>Sắp xếp giá Thấp-Cao, Mới nhất</t>
  </si>
  <si>
    <t>F5. Chat</t>
  </si>
  <si>
    <t>TS_F5_39</t>
  </si>
  <si>
    <t>Kiểm tra validation của ô nhập Tin nhắn Chat</t>
  </si>
  <si>
    <t>Gửi rỗng, gửi quá ký tự</t>
  </si>
  <si>
    <t>TS_F5_40</t>
  </si>
  <si>
    <t>Kiểm tra khởi tạo phòng Chat từ bài viết</t>
  </si>
  <si>
    <t>Bấm "Chat với người bán"</t>
  </si>
  <si>
    <t>TS_F5_41</t>
  </si>
  <si>
    <t>Kiểm tra luồng gửi nhận tin nhắn Realtime</t>
  </si>
  <si>
    <t>Nhắn phát bên kia nhận ngay không cần F5</t>
  </si>
  <si>
    <t>TS_F5_42</t>
  </si>
  <si>
    <t>Kiểm tra gửi tin nhắn khi đối phương Offline</t>
  </si>
  <si>
    <t>Lưu tin chưa đọc, đếm số thông báo (Badge)</t>
  </si>
  <si>
    <t>TS_F5_43</t>
  </si>
  <si>
    <t>Kiểm tra validation của ô Bình luận (Comment)</t>
  </si>
  <si>
    <t>Bình luận rỗng, spam bình luận</t>
  </si>
  <si>
    <t>TS_F5_44</t>
  </si>
  <si>
    <t>Kiểm tra gửi Bình luận thành công</t>
  </si>
  <si>
    <t>Bình luận hiện ngay dưới bài</t>
  </si>
  <si>
    <t>TS_F5_45</t>
  </si>
  <si>
    <t>Kiểm tra phân quyền Bình luận/Chat</t>
  </si>
  <si>
    <t>Guest chưa login bị đá ra trang đăng nhập</t>
  </si>
  <si>
    <t>TS_F5_46</t>
  </si>
  <si>
    <t>Kiểm tra Xóa bình luận</t>
  </si>
  <si>
    <t>Xóa cmt của mình, chặn xóa cmt người khác</t>
  </si>
  <si>
    <t>F6. VIP</t>
  </si>
  <si>
    <t>TS_F6_47</t>
  </si>
  <si>
    <t>Kiểm tra truy cập trang Nâng cấp VIP</t>
  </si>
  <si>
    <t>Quyền truy cập của User thường vs Guest</t>
  </si>
  <si>
    <t>TS_F6_48</t>
  </si>
  <si>
    <t>Kiểm tra chọn Gói VIP để thanh toán</t>
  </si>
  <si>
    <t>Chọn gói 1 tháng, 1 năm -&gt; đúng giá tiền</t>
  </si>
  <si>
    <t>TS_F6_49</t>
  </si>
  <si>
    <t>Kiểm tra logic cộng dồn ngày VIP</t>
  </si>
  <si>
    <t>VIP mua thêm gói -&gt; gia hạn thời gian</t>
  </si>
  <si>
    <t>TS_F6_50</t>
  </si>
  <si>
    <t>Kiểm tra hiển thị Mã QR Thanh toán</t>
  </si>
  <si>
    <t>Render QR đúng nội dung chuyển khoản</t>
  </si>
  <si>
    <t>TS_F6_51</t>
  </si>
  <si>
    <t>Kiểm tra Hủy giao dịch thanh toán QR</t>
  </si>
  <si>
    <t>Bấm nút hủy, về trang chủ</t>
  </si>
  <si>
    <t>TS_F6_52</t>
  </si>
  <si>
    <t>Kiểm tra luồng Thanh toán thành công (Webhook)</t>
  </si>
  <si>
    <t>Giả lập API trả về thành công</t>
  </si>
  <si>
    <t>TS_F6_53</t>
  </si>
  <si>
    <t>Kiểm tra hiển thị Lịch sử giao dịch</t>
  </si>
  <si>
    <t>Table hiển thị đủ 5 trường thông tin</t>
  </si>
  <si>
    <t>TS_F6_54</t>
  </si>
  <si>
    <t>Kiểm tra Lọc Lịch sử GD theo Ngày tháng</t>
  </si>
  <si>
    <t>Từ ngày &lt; Đến ngày</t>
  </si>
  <si>
    <t>TS_F6_55</t>
  </si>
  <si>
    <t>Kiểm tra Lọc Lịch sử GD theo Trạng thái</t>
  </si>
  <si>
    <t>Lọc đơn Thành công / Đã hủy</t>
  </si>
  <si>
    <t>TS_F6_56</t>
  </si>
  <si>
    <t>Kiểm tra quyền lợi hiển thị của Nick VIP</t>
  </si>
  <si>
    <t>Bài đăng có badge VIP, lên Top danh sách</t>
  </si>
  <si>
    <t>TS_F6_57</t>
  </si>
  <si>
    <t>Kiểm tra tự động hạ cấp khi hết hạn VIP</t>
  </si>
  <si>
    <t>Hết hạn -&gt; mất badge, rớt top</t>
  </si>
  <si>
    <t>F7. Admin</t>
  </si>
  <si>
    <t>TS_F7_58</t>
  </si>
  <si>
    <t>Kiểm tra bảo mật truy cập URL Admin</t>
  </si>
  <si>
    <t>User thường gõ /admin -&gt; Bị chặn (403)</t>
  </si>
  <si>
    <t>TS_F7_59</t>
  </si>
  <si>
    <t>Kiểm tra Tìm kiếm Người dùng</t>
  </si>
  <si>
    <t>Gõ email đúng, gõ email sai</t>
  </si>
  <si>
    <t>TS_F7_60</t>
  </si>
  <si>
    <t>Kiểm tra thao tác Khóa (Ban) người dùng</t>
  </si>
  <si>
    <t>Khóa user đang online, user văng app</t>
  </si>
  <si>
    <t>TS_F7_61</t>
  </si>
  <si>
    <t>Kiểm tra thao tác Mở khóa người dùng</t>
  </si>
  <si>
    <t>Mở khóa, user login lại được</t>
  </si>
  <si>
    <t>TS_F7_62</t>
  </si>
  <si>
    <t>Kiểm tra Admin Duyệt bài đăng</t>
  </si>
  <si>
    <t>Bài chuyển từ Chờ duyệt -&gt; Đang bán</t>
  </si>
  <si>
    <t>TS_F7_63</t>
  </si>
  <si>
    <t>Kiểm tra Admin Từ chối bài đăng</t>
  </si>
  <si>
    <t>Bắt buộc nhập lý do từ chối</t>
  </si>
  <si>
    <t>TS_F7_64</t>
  </si>
  <si>
    <t>Kiểm tra Admin Xóa bài đang hiển thị</t>
  </si>
  <si>
    <t>Xóa bài vi phạm khỏi hệ thống</t>
  </si>
  <si>
    <t>TS_F7_65</t>
  </si>
  <si>
    <t>Kiểm tra Thêm Danh mục mới</t>
  </si>
  <si>
    <t>Thêm tên, upload icon -&gt; Hiện lên trang chủ</t>
  </si>
  <si>
    <t>TS_F7_66</t>
  </si>
  <si>
    <t>Kiểm tra validate Thêm Danh mục</t>
  </si>
  <si>
    <t>Thêm tên trùng, để trống tên</t>
  </si>
  <si>
    <t>TS_F7_67</t>
  </si>
  <si>
    <t>Kiểm tra Xóa Danh mục</t>
  </si>
  <si>
    <t>Xóa DM trống (Ok), Xóa DM có bài (Báo lỗi)</t>
  </si>
  <si>
    <t>TS_F7_68</t>
  </si>
  <si>
    <t>Kiểm tra Dashboard Thống kê Người dùng &amp; SP</t>
  </si>
  <si>
    <t>Cộng đúng tổng số trong DB</t>
  </si>
  <si>
    <t>TS_F7_69</t>
  </si>
  <si>
    <t>Kiểm tra Dashboard Biểu đồ Doanh thu</t>
  </si>
  <si>
    <t>Cộng đúng đơn Thành công theo Tháng</t>
  </si>
  <si>
    <t>TS_F7_70</t>
  </si>
  <si>
    <t>Kiểm tra chức năng Đăng xuất của Admin</t>
  </si>
  <si>
    <t>Xóa token, đẩy về trang chủ</t>
  </si>
  <si>
    <t>Num of Testcases</t>
  </si>
  <si>
    <t>INT_01</t>
  </si>
  <si>
    <t>Luồng Đăng bán &amp; Tương tác mua hàng (Core Flow):Người bán đăng nhập → Đăng tin rao vặt mới → Admin duyệt tin → Người mua tìm kiếm thấy tin → Xem chi tiết và Chat cho người bán.</t>
  </si>
  <si>
    <t>F1 (Auth), F3 (Đăng tin), F7 (Admin), F4 (Tìm kiếm), F5 (Chat).</t>
  </si>
  <si>
    <t>INT_02</t>
  </si>
  <si>
    <t>Luồng Nâng cấp VIP &amp; Ưu tiên hiển thị (Monetization Flow):Người bán mua VIP → Đăng tin → Admin duyệt → Tin đăng hiển thị huy hiệu VIP và nằm Top kết quả tìm kiếm → Public Profile hiện nhãn VIP.</t>
  </si>
  <si>
    <t>F6 (Thanh toán VIP), F3 (Đăng tin), F7 (Admin), F4 (Tìm kiếm), F2 (Profile).</t>
  </si>
  <si>
    <t>INT_03</t>
  </si>
  <si>
    <t>Luồng Xử lý vi phạm &amp; Đóng băng dữ liệu (Moderation Flow):Admin Khóa (Ban) tài khoản người bán đang Online → Tài khoản bị văng phiên đăng nhập → Toàn bộ bài đăng của người đó tự động biến mất khỏi trang Tìm kiếm → Public Profile báo lỗi 404.</t>
  </si>
  <si>
    <t>F7 (Admin), F1 (Auth), F4 (Tìm kiếm), F2 (Profile).</t>
  </si>
  <si>
    <t>INT_04</t>
  </si>
  <si>
    <t>Luồng Vòng đời của "Tin đã lưu" (Data Consistency Flow):Người mua tìm kiếm và Lưu (Like) tin của người bán A → Người bán A Xóa bài viết → Người mua vào trang "Tin đã lưu" kiểm tra → Thẻ bài viết mờ đi, báo "Tin không khả dụng".</t>
  </si>
  <si>
    <t>F4 (Tìm kiếm), F3 (Tin đã lưu), F7 (Admin).</t>
  </si>
  <si>
    <t>INT_05</t>
  </si>
  <si>
    <t>Luồng Kiểm duyệt lại tin bị từ chối (Correction Flow):Người bán đăng tin sai quy định → Admin Từ chối duyệt kèm lý do → Người bán nhận thông báo, sửa lại bài → Bài chờ duyệt lại → Admin Duyệt thành công → Tin xuất hiện Public.</t>
  </si>
  <si>
    <t>F3 (Đăng tin / Sửa tin), F7 (Admin), F4 (Tìm kiếm).</t>
  </si>
  <si>
    <t>INT_06</t>
  </si>
  <si>
    <t>Luồng Tương tác trên bài đăng đã ẩn (Edge Case Flow):Hai người dùng đang chat sôi nổi → Người bán "Ẩn" tin → Khung chat vẫn lưu lịch sử nhưng bị disable nút Gửi → Người mua click vào bài viết từ khung chat sẽ nhận thông báo tin đã ẩn.</t>
  </si>
  <si>
    <t>F5 (Chat / Bình luận), F3 (Quản lý tin), F2 (Xem chi tiết).</t>
  </si>
  <si>
    <t>INT_07</t>
  </si>
  <si>
    <t>Luồng Báo cáo vi phạm (Report &amp; Action Flow):Người mua tìm thấy tin lừa đảo (F4) → Xem chi tiết và nhấn "Báo cáo" → Admin nhận Log báo cáo (F7) → Admin tiến hành Xóa tin → Người mua tải lại trang Tìm kiếm thấy tin đã bị gỡ.</t>
  </si>
  <si>
    <t>F4 (Tìm kiếm), F2 (Chi tiết), F7 (Admin).</t>
  </si>
  <si>
    <t>INT_08</t>
  </si>
  <si>
    <t>Luồng Đồng bộ thông tin Profile (Profile Sync Flow):Người bán cập nhật lại Số điện thoại và Email mới trong trang Hồ sơ (F2) → Tìm kiếm lại các bài đã đăng từ tháng trước (F4) → Xem chi tiết bài (F2) thấy thông tin liên hệ đã được tự động cập nhật số mới.</t>
  </si>
  <si>
    <t>F2 (Profile), F4 (Tìm kiếm), F3 (Quản lý tin).</t>
  </si>
  <si>
    <t>INT_09</t>
  </si>
  <si>
    <t>Luồng Hết hạn VIP &amp; Rớt hạng tìm kiếm (Downgrade Flow):Gói VIP của người bán hết hạn (F6) → Hệ thống tự động gỡ nhãn VIP trên Public Profile (F2) → Các bài đăng mất viền nổi bật và rớt xuống thứ tự thời gian bình thường trong kết quả Tìm kiếm (F4).</t>
  </si>
  <si>
    <t>F6 (Thanh toán), F2 (Profile), F4 (Tìm kiếm).</t>
  </si>
  <si>
    <t>INT_10</t>
  </si>
  <si>
    <t>Luồng Đổi mật khẩu &amp; Vô hiệu hóa Session (Security Flow):User đang mở 2 tab trình duyệt → Tab 1 tiến hành Đổi mật khẩu thành công (F1) → Sang Tab 2 cố gắng thực hiện Đăng tin (F3) hoặc nhắn tin Chat (F5) → API từ chối, hệ thống buộc văng ra màn hình Đăng nhập (F1).</t>
  </si>
  <si>
    <t>F1 (Auth), F3 (Đăng tin), F5 (Chat).</t>
  </si>
  <si>
    <t>INT_11</t>
  </si>
  <si>
    <t>Luồng Chốt đơn &amp; Đóng luồng tương tác (Closing Sale Flow):Người mua và bán đang Chat chốt giá (F5) → Người bán vào Quản lý bài đăng chuyển trạng thái thành "Đã bán" (F3) → Bài đăng biến mất khỏi kết quả Tìm kiếm (F4) → Khung chat hiện thông báo "Sản phẩm đã bán", vô hiệu hóa nhập liệu.</t>
  </si>
  <si>
    <t>F5 (Chat), F3 (Quản lý tin), F4 (Tìm kiếm).</t>
  </si>
  <si>
    <t>Test Case ID</t>
  </si>
  <si>
    <t>Test Objective</t>
  </si>
  <si>
    <t>Pre-conditions</t>
  </si>
  <si>
    <t>Step #</t>
  </si>
  <si>
    <t>Step Action</t>
  </si>
  <si>
    <t>Test Data</t>
  </si>
  <si>
    <t>Expected Result</t>
  </si>
  <si>
    <t>Actual Result</t>
  </si>
  <si>
    <t>Result</t>
  </si>
  <si>
    <t>By tester</t>
  </si>
  <si>
    <t>TC_INT_01.1</t>
  </si>
  <si>
    <t>Luân chuyển dữ liệu Đăng tin -&gt; Admin Duyệt -&gt; Tìm kiếm</t>
  </si>
  <si>
    <t>User A (Bán) và Admin có tài khoản hợp lệ, đang mở 2 trình duyệt.</t>
  </si>
  <si>
    <t>User A tạo tin "Bán iPhone" và Đăng bài (F3).</t>
  </si>
  <si>
    <t>Tiêu đề: "Bán iPhone"</t>
  </si>
  <si>
    <t>Trạng thái tin trên máy User A là "Chờ duyệt".</t>
  </si>
  <si>
    <t>[Integration Fail] Lỗi: Đăng bài xong nhưng web không tự chuyển về Trang chủ sau 30 giây.</t>
  </si>
  <si>
    <t>Fail</t>
  </si>
  <si>
    <t>Danh</t>
  </si>
  <si>
    <t>Admin vào trang Quản trị (F7) -&gt; Bấm Duyệt bài của User A.</t>
  </si>
  <si>
    <t>Danh sách chờ duyệt của Admin giảm 1.</t>
  </si>
  <si>
    <t>Khách vãng lai ra Trang chủ, tìm kiếm "iPhone" (F4).</t>
  </si>
  <si>
    <t>Keyword: "iPhone"</t>
  </si>
  <si>
    <t>Tin xuất hiện trên kết quả public với đầy đủ ảnh, giá.</t>
  </si>
  <si>
    <t>TC_INT_01.2</t>
  </si>
  <si>
    <t>Luân chuyển dữ liệu Tìm kiếm -&gt; Khung Chat</t>
  </si>
  <si>
    <t>User B đã đăng nhập. Tin của User A đang hiển thị Public.</t>
  </si>
  <si>
    <t>User B tìm thấy tin (F4) -&gt; Click xem chi tiết.</t>
  </si>
  <si>
    <t>Mở trang chi tiết sản phẩm thành công.</t>
  </si>
  <si>
    <t>[System Error] Timed out after 15 seconds</t>
  </si>
  <si>
    <t>Bấm "Chat với người bán" (F5).</t>
  </si>
  <si>
    <t>Khung Chat mở, tải đúng tên và Avatar của User A.</t>
  </si>
  <si>
    <t>User B gõ tin nhắn và bấm Gửi.</t>
  </si>
  <si>
    <t>Msg: "Còn hàng không?"</t>
  </si>
  <si>
    <t>Tin nhắn hiển thị trên khung chat của User B.</t>
  </si>
  <si>
    <t>User A mở khung Chat.</t>
  </si>
  <si>
    <t>User A nhận được tin realtime, đính kèm link sản phẩm.</t>
  </si>
  <si>
    <t>TC_INT_02.1</t>
  </si>
  <si>
    <t>Cập nhật quyền lợi VIP trên Profile sau khi thanh toán</t>
  </si>
  <si>
    <t>User A đang là tài khoản thường.</t>
  </si>
  <si>
    <t>User A mua gói VIP 1 tháng và thanh toán thành công (F6).</t>
  </si>
  <si>
    <t>Gói: VIP 1 Tháng</t>
  </si>
  <si>
    <t>Chuyển về trang Lịch sử GD, trạng thái "Thành công".</t>
  </si>
  <si>
    <t>User A tải lại (Reload) trang web.</t>
  </si>
  <si>
    <t>Avatar Header xuất hiện biểu tượng VIP.</t>
  </si>
  <si>
    <t>Khách vãng lai truy cập Public Profile của User A (F2).</t>
  </si>
  <si>
    <t>URL: /profile/userA</t>
  </si>
  <si>
    <t>Khách nhìn thấy Avatar User A có tick VIP uy tín.</t>
  </si>
  <si>
    <t>TC_INT_02.2</t>
  </si>
  <si>
    <t>Ưu tiên hiển thị bài đăng VIP trên kết quả tìm kiếm</t>
  </si>
  <si>
    <t>User A (VIP) và B (Thường) cùng đăng "Macbook". Admin đã duyệt cả 2.</t>
  </si>
  <si>
    <t>Khách vãng lai gõ tìm kiếm "Macbook" (F4).</t>
  </si>
  <si>
    <t>Keyword: "Macbook"</t>
  </si>
  <si>
    <t>Cả 2 bài đăng đều xuất hiện trên kết quả.</t>
  </si>
  <si>
    <t>Chuyển bộ lọc sang "Sắp xếp: Mới nhất".</t>
  </si>
  <si>
    <t>Filter: "Mới nhất"</t>
  </si>
  <si>
    <t>Thẻ SP của User A (VIP) luôn ghim Top đầu, viền nổi bật.</t>
  </si>
  <si>
    <t>TC_INT_03.1</t>
  </si>
  <si>
    <t>Buộc Đăng xuất (Force Logout) khi bị Khóa tài khoản</t>
  </si>
  <si>
    <t>User A đang thao tác trên web (đang Online).</t>
  </si>
  <si>
    <t>Admin vào QL User (F7) -&gt; Khóa (Ban) User A.</t>
  </si>
  <si>
    <t>Action: Ban</t>
  </si>
  <si>
    <t>Trạng thái User A trong bảng Admin chuyển thành Khóa.</t>
  </si>
  <si>
    <t>[System Error] unexpected alert open: {Alert text : Email hoặc mật khẩu không chính xác. Vui lòng thử lại.}</t>
  </si>
  <si>
    <t>User A click thử vào "Hồ sơ" hoặc "Đăng tin".</t>
  </si>
  <si>
    <t>API từ chối. Màn hình User A văng ra trang Login báo lỗi.</t>
  </si>
  <si>
    <t>Check lỗi 401</t>
  </si>
  <si>
    <t>TC_INT_03.2</t>
  </si>
  <si>
    <t>Tự động ẩn toàn bộ bài đăng của tài khoản bị khóa</t>
  </si>
  <si>
    <t>User A có 5 bài đang Public. Tài khoản A vừa bị Khóa.</t>
  </si>
  <si>
    <t>Khách tìm kiếm từ khóa khớp với bài của User A (F4).</t>
  </si>
  <si>
    <t>5 bài đăng biến mất khỏi lưới kết quả tìm kiếm.</t>
  </si>
  <si>
    <t>Khách nhập trực tiếp link URL bài cũ của User A.</t>
  </si>
  <si>
    <t>URL: /post/id-cu</t>
  </si>
  <si>
    <t>Báo lỗi 404 "Bài đăng đã bị gỡ hoặc không tồn tại".</t>
  </si>
  <si>
    <t>TC_INT_04.1</t>
  </si>
  <si>
    <t>Xử lý "Tin đã lưu" khi người bán chủ động Xóa bài</t>
  </si>
  <si>
    <t>User B đã bấm Lưu (Like) bài viết của User A.</t>
  </si>
  <si>
    <t>User B mở trang "Tin đã lưu" (F3).</t>
  </si>
  <si>
    <t>Thẻ bài viết hiển thị bình thường trong danh sách.</t>
  </si>
  <si>
    <t>User A vào trang QL Tin -&gt; Xóa vĩnh viễn bài đó.</t>
  </si>
  <si>
    <t>Action: Delete</t>
  </si>
  <si>
    <t>Xóa thành công, mất khỏi danh sách của User A.</t>
  </si>
  <si>
    <t>User B tải lại (Reload) trang "Tin đã lưu".</t>
  </si>
  <si>
    <t>Thẻ bài mờ đi báo "Tin đã bị xóa" hoặc biến mất hẳn.</t>
  </si>
  <si>
    <t>Không đc crash</t>
  </si>
  <si>
    <t>TC_INT_05.1</t>
  </si>
  <si>
    <t>User chỉnh sửa bài bị Từ chối và Admin duyệt lại</t>
  </si>
  <si>
    <t>Bài của User A vừa bị Admin Từ chối do "Hình mờ".</t>
  </si>
  <si>
    <t>User A vào Quản lý tin (F3) -&gt; Bấm Chỉnh sửa.</t>
  </si>
  <si>
    <t>Form Edit mở lên, hiện đúng lý do từ chối "Hình mờ".</t>
  </si>
  <si>
    <t>[System Error] Chưa code logic cho kịch bản TC_INT_05.1</t>
  </si>
  <si>
    <t>User A đổi ảnh mới -&gt; Bấm Cập nhật.</t>
  </si>
  <si>
    <t>File: img_moi.jpg</t>
  </si>
  <si>
    <t>Trạng thái bài của User A quay về "Chờ duyệt".</t>
  </si>
  <si>
    <t>Admin (F7) vào tab Chờ duyệt -&gt; Bấm Duyệt.</t>
  </si>
  <si>
    <t>Bài đăng được duyệt thành công.</t>
  </si>
  <si>
    <t>Khách vãng lai tìm kiếm (F4).</t>
  </si>
  <si>
    <t>Tin xuất hiện trên Public Search với hình ảnh mới.</t>
  </si>
  <si>
    <t>TC_INT_06.1</t>
  </si>
  <si>
    <t>Vô hiệu hóa Chat khi tin bị chủ động Ẩn</t>
  </si>
  <si>
    <t>A và B đang mở khung Chat về sản phẩm X.</t>
  </si>
  <si>
    <t>Ở tab khác, User A đổi trạng thái tin X thành "Ẩn tin".</t>
  </si>
  <si>
    <t>Status: Hidden</t>
  </si>
  <si>
    <t>Trạng thái chuyển thành Đã ẩn.</t>
  </si>
  <si>
    <t>[System Error] Chưa code logic cho kịch bản TC_INT_06.1</t>
  </si>
  <si>
    <t>User B gõ tin nhắn mới và bấm Gửi (F5).</t>
  </si>
  <si>
    <t>Msg: "Alo"</t>
  </si>
  <si>
    <t>Tin nhắn không gửi được, báo "Sản phẩm đã bị ẩn".</t>
  </si>
  <si>
    <t>User B bấm vào link sản phẩm X trong Chat.</t>
  </si>
  <si>
    <t>Chuyển hướng sang trang báo lỗi 404 / Tin không khả dụng.</t>
  </si>
  <si>
    <t>TC_INT_07.1</t>
  </si>
  <si>
    <t>Người dùng báo cáo và Admin gỡ bài vi phạm</t>
  </si>
  <si>
    <t>Bài đăng lừa đảo của User A đang hiển thị Public.</t>
  </si>
  <si>
    <t>User B xem chi tiết -&gt; Bấm "Báo cáo" (F2).</t>
  </si>
  <si>
    <t>Lý do: Lừa đảo</t>
  </si>
  <si>
    <t>Hệ thống báo Báo cáo thành công.</t>
  </si>
  <si>
    <t>Admin mở Log báo cáo (F7) -&gt; Bấm Xóa bài.</t>
  </si>
  <si>
    <t>Bài bị gỡ thành công khỏi hệ thống.</t>
  </si>
  <si>
    <t>User B tải lại trang chi tiết bài đăng đó.</t>
  </si>
  <si>
    <t>Báo lỗi "Bài viết đã bị quản trị viên gỡ bỏ".</t>
  </si>
  <si>
    <t>TC_INT_08.1</t>
  </si>
  <si>
    <t>Đổi SĐT tự động cập nhật lên các bài đăng cũ</t>
  </si>
  <si>
    <t>User A có 10 bài đăng cũ chứa SĐT cũ.</t>
  </si>
  <si>
    <t>User A vào Hồ sơ (F2) đổi thành SĐT mới.</t>
  </si>
  <si>
    <t>SĐT: 0999999999</t>
  </si>
  <si>
    <t>Lưu thành công.</t>
  </si>
  <si>
    <t>Khách tìm kiếm (F4) 1 bài đăng cũ của User A.</t>
  </si>
  <si>
    <t>Tìm thấy bài viết cũ.</t>
  </si>
  <si>
    <t>Khách bấm "Hiển thị SĐT liên hệ".</t>
  </si>
  <si>
    <t>Action: Click</t>
  </si>
  <si>
    <t>Hiện số mới 0999999999, không hiện số cũ.</t>
  </si>
  <si>
    <t>TC_INT_09.1</t>
  </si>
  <si>
    <t>Gỡ nhãn VIP và rớt Top tìm kiếm khi hết hạn VIP</t>
  </si>
  <si>
    <t>User A đang VIP, bài nằm Top 1. Thời hạn VIP vừa kết thúc.</t>
  </si>
  <si>
    <t>Khách truy cập Public Profile của User A.</t>
  </si>
  <si>
    <t>Avatar của User A không còn huy hiệu VIP.</t>
  </si>
  <si>
    <t>Khách gõ từ khóa tìm bài của User A (F4).</t>
  </si>
  <si>
    <t>Bài đăng mất viền nổi bật, rớt xuống hiển thị như user thường.</t>
  </si>
  <si>
    <t>TC_INT_10.1</t>
  </si>
  <si>
    <t>Đổi pass thành công, hủy session các thiết bị khác</t>
  </si>
  <si>
    <t>User A đang Login cùng lúc ở Trình duyệt 1 và 2.</t>
  </si>
  <si>
    <t>Ở Tab 1: User A đổi pass thành công (F1).</t>
  </si>
  <si>
    <t>Pass: mới</t>
  </si>
  <si>
    <t>Đổi mật khẩu thành công.</t>
  </si>
  <si>
    <t>Ở Tab 2: User A điền form Đăng tin (F3) và submit.</t>
  </si>
  <si>
    <t>Form không gửi được, văng ra trang Login (báo hết phiên).</t>
  </si>
  <si>
    <t>Ở Tab 2: Cố gắng gửi Chat (F5) trước khi văng.</t>
  </si>
  <si>
    <t>Socket/API chặn, không gửi được tin.</t>
  </si>
  <si>
    <t>TC_INT_11.1</t>
  </si>
  <si>
    <t>Đánh dấu "Đã bán" tự động đóng bài và khung Chat</t>
  </si>
  <si>
    <t>User A và B vừa chốt giá xong cho SP Y qua Chat.</t>
  </si>
  <si>
    <t>User A Đánh dấu "Đã Bán" cho sản phẩm Y (F3).</t>
  </si>
  <si>
    <t>Status: Sold</t>
  </si>
  <si>
    <t>Bài chuyển màu xám "Đã bán".</t>
  </si>
  <si>
    <t>Khách tìm kiếm sản phẩm Y (F4).</t>
  </si>
  <si>
    <t>SP Y biến mất khỏi kết quả tìm kiếm.</t>
  </si>
  <si>
    <t>User B quay lại khung Chat.</t>
  </si>
  <si>
    <t>Khung chat báo "Giao dịch hoàn tất", khóa ô nhập liệu.</t>
  </si>
  <si>
    <t>Pre-conditions 
(Điều kiện)</t>
  </si>
  <si>
    <t>Notes</t>
  </si>
  <si>
    <t>F1.1. Register</t>
  </si>
  <si>
    <t>R01</t>
  </si>
  <si>
    <t>Đăng ký tài khoản thành công</t>
  </si>
  <si>
    <t>Người dùng chưa có tài khoản</t>
  </si>
  <si>
    <t>Truy cập trang Register</t>
  </si>
  <si>
    <t>Trang Register hiển thị</t>
  </si>
  <si>
    <t>Đăng ký thành công! Một email xác thực đã được gửi đến hộp thư của bạn. Vui lòng kiểm tra và xác nhận trước khi đăng nhậ</t>
  </si>
  <si>
    <t>Huy</t>
  </si>
  <si>
    <t>Nhập Email</t>
  </si>
  <si>
    <t>user1@gmail.com</t>
  </si>
  <si>
    <t>Nhập Password</t>
  </si>
  <si>
    <t>Nhập Confirm Password</t>
  </si>
  <si>
    <t>Click Register</t>
  </si>
  <si>
    <t>Tài khoản được tạo thành công</t>
  </si>
  <si>
    <t>R02</t>
  </si>
  <si>
    <t>Đăng ký với email đã tồn tại</t>
  </si>
  <si>
    <t>Email đã tồn tại trong hệ thống</t>
  </si>
  <si>
    <t xml:space="preserve"> Đăng ký không thành công: Firebase: Error (auth/email-already-in-use)</t>
  </si>
  <si>
    <t>admin@gmail.com</t>
  </si>
  <si>
    <t>Hiển thị lỗi Email đã tồn tại</t>
  </si>
  <si>
    <t>R03</t>
  </si>
  <si>
    <t>Email sai định dạng</t>
  </si>
  <si>
    <t>Ở trang Đăng ký</t>
  </si>
  <si>
    <t>Vui lòng bao gồm '@' trong địa chỉ email. 'abcgmail.com' bị thiếu '@'</t>
  </si>
  <si>
    <t>abcgmail.com</t>
  </si>
  <si>
    <t>Hiển thị lỗi Email không hợp lệ</t>
  </si>
  <si>
    <t>R04</t>
  </si>
  <si>
    <t>Không nhập Email</t>
  </si>
  <si>
    <t xml:space="preserve"> Vui lòng điền vào trường này.</t>
  </si>
  <si>
    <t>Hiển thị thông báo Email required</t>
  </si>
  <si>
    <t>R05</t>
  </si>
  <si>
    <t>Không nhập Password</t>
  </si>
  <si>
    <t>user2@gmail.com</t>
  </si>
  <si>
    <t>Hiển thị thông báo Password required</t>
  </si>
  <si>
    <t>R06</t>
  </si>
  <si>
    <t>Password và Confirm Password không khớp</t>
  </si>
  <si>
    <t>Hiển thị lỗi Password mismatch</t>
  </si>
  <si>
    <t>R07</t>
  </si>
  <si>
    <t>Password quá ngắn</t>
  </si>
  <si>
    <t>Mật khẩu và xác nhận mật khẩu không khớp!</t>
  </si>
  <si>
    <t>user3@gmail.com</t>
  </si>
  <si>
    <t>Hiển thị lỗi Password quá ngắn</t>
  </si>
  <si>
    <t>R08</t>
  </si>
  <si>
    <t>Password không đủ độ mạnh</t>
  </si>
  <si>
    <t xml:space="preserve"> Đăng ký thành công</t>
  </si>
  <si>
    <t>user4@gmail.com</t>
  </si>
  <si>
    <t>abcdef</t>
  </si>
  <si>
    <t>Hiển thị lỗi Password không hợp lệ</t>
  </si>
  <si>
    <t>R09</t>
  </si>
  <si>
    <t>Email chứa khoảng trắng</t>
  </si>
  <si>
    <t xml:space="preserve"> Phần đứng trước '@' không được chứa biểu tượng ' '.</t>
  </si>
  <si>
    <t>user 1@gmail.com</t>
  </si>
  <si>
    <t>R10</t>
  </si>
  <si>
    <t>Email viết hoa hợp lệ</t>
  </si>
  <si>
    <t xml:space="preserve"> Đăng ký thành công! Một email xác thực đã được gửi đến hộp thư của bạn. Vui lòng kiểm tra và xác nhận trước khi đăng nhập.</t>
  </si>
  <si>
    <t>USER@gmail.com</t>
  </si>
  <si>
    <t>Đăng ký thành công</t>
  </si>
  <si>
    <t>R11</t>
  </si>
  <si>
    <t>Password có ký tự đặc biệt</t>
  </si>
  <si>
    <t>user5@gmail.com</t>
  </si>
  <si>
    <t>Abc@123</t>
  </si>
  <si>
    <t>R12</t>
  </si>
  <si>
    <t>Không nhập Confirm Password</t>
  </si>
  <si>
    <t>Vui lòng điền vào trường này.</t>
  </si>
  <si>
    <t>user6@gmail.com</t>
  </si>
  <si>
    <t>Hiển thị lỗi Confirm Password required</t>
  </si>
  <si>
    <t>R13</t>
  </si>
  <si>
    <t>Confirm Password sai</t>
  </si>
  <si>
    <t>user7@gmail.com</t>
  </si>
  <si>
    <t>R14</t>
  </si>
  <si>
    <t>Email chứa ký tự đặc biệt không hợp lệ</t>
  </si>
  <si>
    <t>Phần đứng sau '@' không được chứa biểu tượng '!'.</t>
  </si>
  <si>
    <t>user!@gmail.com</t>
  </si>
  <si>
    <t>Hiển thị lỗi Email invalid</t>
  </si>
  <si>
    <t>R15</t>
  </si>
  <si>
    <t>Submit form trống</t>
  </si>
  <si>
    <t>Hiển thị required fields</t>
  </si>
  <si>
    <t>R16</t>
  </si>
  <si>
    <t>Email quá dài</t>
  </si>
  <si>
    <t>Đăng ký thành công!</t>
  </si>
  <si>
    <t>verylongemailaddress123456789@gmail.com</t>
  </si>
  <si>
    <t>R17</t>
  </si>
  <si>
    <t>Hiển thị thông báo lỗi đúng</t>
  </si>
  <si>
    <t>Số điện thoại phải có đúng 10 chữ số.</t>
  </si>
  <si>
    <t>Nhập dữ liệu sai</t>
  </si>
  <si>
    <t>Hiển thị error message phù hợp</t>
  </si>
  <si>
    <t>R18</t>
  </si>
  <si>
    <t>Chuyển trang sau khi đăng ký thành công</t>
  </si>
  <si>
    <t>Nhập thông tin hợp lệ</t>
  </si>
  <si>
    <t xml:space="preserve"> Đăng ký thành công!</t>
  </si>
  <si>
    <t>Hệ thống chuyển sang trang Login hoặc Home</t>
  </si>
  <si>
    <t>F1.2. Login</t>
  </si>
  <si>
    <t>L01</t>
  </si>
  <si>
    <t>Đăng nhập thành công</t>
  </si>
  <si>
    <t>Tài khoản đã tồn tại</t>
  </si>
  <si>
    <t>Truy cập trang Login</t>
  </si>
  <si>
    <t>Trang Login hiển thị</t>
  </si>
  <si>
    <t>Đăng nhập thành công, chuyển sang trang Home</t>
  </si>
  <si>
    <t>Click Login</t>
  </si>
  <si>
    <t>L02</t>
  </si>
  <si>
    <t>Sai mật khẩu</t>
  </si>
  <si>
    <t>Email hoặc mật khẩu không chính xác. Vui lòng thử lại</t>
  </si>
  <si>
    <t>Hiển thị lỗi mật khẩu sai</t>
  </si>
  <si>
    <t>L03</t>
  </si>
  <si>
    <t>Email không tồn tại</t>
  </si>
  <si>
    <t>Ở trang Đăng nhập</t>
  </si>
  <si>
    <t xml:space="preserve"> Email hoặc mật khẩu không chính xác. Vui lòng thử lại.</t>
  </si>
  <si>
    <t>nouser@gmail.com</t>
  </si>
  <si>
    <t>Hiển thị lỗi tài khoản không tồn tại</t>
  </si>
  <si>
    <t>L04</t>
  </si>
  <si>
    <t>Hiển thị lỗi Email required</t>
  </si>
  <si>
    <t>L05</t>
  </si>
  <si>
    <t>Hiển thị lỗi Password required</t>
  </si>
  <si>
    <t>L06</t>
  </si>
  <si>
    <t xml:space="preserve"> Vui lòng bao gồm '@' trong địa chỉ email. 'abcgmail.com' bị thiếu '@'.</t>
  </si>
  <si>
    <t>L07</t>
  </si>
  <si>
    <t>Email hoặc mật khẩu không chính xác. Vui lòng thử lại.</t>
  </si>
  <si>
    <t>Hiển thị lỗi Password invalid</t>
  </si>
  <si>
    <t>L08</t>
  </si>
  <si>
    <t>Phần đứng trước '@' không được chứa biểu tượng ' '.</t>
  </si>
  <si>
    <t>L09</t>
  </si>
  <si>
    <t>Email viết hoa</t>
  </si>
  <si>
    <t>USER1@GMAIL.COM</t>
  </si>
  <si>
    <t>L10</t>
  </si>
  <si>
    <t>L11</t>
  </si>
  <si>
    <t>Kiểm tra hiển thị thông báo lỗi</t>
  </si>
  <si>
    <t>Vui lòng bao gồm '@' trong địa chỉ email. 'sai-be-bet' bị thiếu '@'.</t>
  </si>
  <si>
    <t>Hiển thị error message đúng</t>
  </si>
  <si>
    <t>L12</t>
  </si>
  <si>
    <t>Nhập password có ký tự đặc biệt</t>
  </si>
  <si>
    <t>Đăng nhập thành công nếu đúng</t>
  </si>
  <si>
    <t>L13</t>
  </si>
  <si>
    <t>verylongemailaddress123456@gmail.com</t>
  </si>
  <si>
    <t>L14</t>
  </si>
  <si>
    <t>Password chứa khoảng trắng</t>
  </si>
  <si>
    <t>123 456</t>
  </si>
  <si>
    <t>Hiển thị lỗi Password</t>
  </si>
  <si>
    <t>L15</t>
  </si>
  <si>
    <t>Kiểm tra redirect sau login</t>
  </si>
  <si>
    <t>Login thành công</t>
  </si>
  <si>
    <t>Nhập Email và Password đúng</t>
  </si>
  <si>
    <t>Chuyển sang trang Home/Dashboard</t>
  </si>
  <si>
    <t>F1.3. Logout</t>
  </si>
  <si>
    <t>LO01</t>
  </si>
  <si>
    <t>Logout thành công</t>
  </si>
  <si>
    <t>User đã login</t>
  </si>
  <si>
    <t>Click nút Logout</t>
  </si>
  <si>
    <t>User đăng xuất thành công</t>
  </si>
  <si>
    <t>Chuyển về trang Login</t>
  </si>
  <si>
    <t>LO02</t>
  </si>
  <si>
    <t>Logout từ menu user</t>
  </si>
  <si>
    <t>Click icon user</t>
  </si>
  <si>
    <t>Click Logout</t>
  </si>
  <si>
    <t>Đăng xuất thành công</t>
  </si>
  <si>
    <t>LO03</t>
  </si>
  <si>
    <t>Không truy cập page sau logout</t>
  </si>
  <si>
    <t>User đã logout</t>
  </si>
  <si>
    <t>Nhập URL trang dashboard</t>
  </si>
  <si>
    <t>Hệ thống chuyển về trang Login</t>
  </si>
  <si>
    <t>LO04</t>
  </si>
  <si>
    <t>Session bị xóa sau logout</t>
  </si>
  <si>
    <t>Session bị xóa</t>
  </si>
  <si>
    <t>LO05</t>
  </si>
  <si>
    <t>Back browser sau logout</t>
  </si>
  <si>
    <t>Click nút Back của browser</t>
  </si>
  <si>
    <t>Không truy cập được trang trước</t>
  </si>
  <si>
    <t>LO06</t>
  </si>
  <si>
    <t>Logout khi session hết hạn</t>
  </si>
  <si>
    <t>User login lâu</t>
  </si>
  <si>
    <t>Session timeout</t>
  </si>
  <si>
    <t>User bị logout tự động</t>
  </si>
  <si>
    <t>LO07</t>
  </si>
  <si>
    <t>Kiểm tra thông báo logout</t>
  </si>
  <si>
    <t>Hiển thị thông báo logout thành công</t>
  </si>
  <si>
    <t>F1.4. Change Password</t>
  </si>
  <si>
    <t>CP01</t>
  </si>
  <si>
    <t>Kiểm tra khi bỏ trống trường Email</t>
  </si>
  <si>
    <t>Đã đăng nhập &amp; Đang ở trang Đổi mật khẩu.</t>
  </si>
  <si>
    <t>Bỏ trống ô Email</t>
  </si>
  <si>
    <t>Email: " "</t>
  </si>
  <si>
    <t>Hệ thống báo lỗi validate bên dưới mỗi ô, không gọi API.</t>
  </si>
  <si>
    <t>Nhấn nút "Quên mật khẩu".</t>
  </si>
  <si>
    <t>CP02</t>
  </si>
  <si>
    <t>Kiểm tra khi nhập Email hợp lệ</t>
  </si>
  <si>
    <t>Đã đăng nhập.</t>
  </si>
  <si>
    <t>Điền đầy đủ vào ô Email</t>
  </si>
  <si>
    <t>Kiểm tra thành công, gọi API Firebase Auth Quên mật khẩu gửi mail xác nhận về Email đã đăng ký</t>
  </si>
  <si>
    <t>Mở Gmail check mail gửi về từ Web</t>
  </si>
  <si>
    <t>F2.1. View Profile</t>
  </si>
  <si>
    <t>VP01</t>
  </si>
  <si>
    <t>Xem thông tin profile thành công</t>
  </si>
  <si>
    <t>Truy cập trang Profile</t>
  </si>
  <si>
    <t>Trang Profile hiển thị</t>
  </si>
  <si>
    <t>Hiển thị thông tin user</t>
  </si>
  <si>
    <t>VP02</t>
  </si>
  <si>
    <t>Hiển thị đúng tên user</t>
  </si>
  <si>
    <t>Truy cập Profile</t>
  </si>
  <si>
    <t>Tên hiển thị khớp chính xác với tên lúc đăng ký hoặc cập nhật gần nhất.</t>
  </si>
  <si>
    <t>Tên hiển thị đúng</t>
  </si>
  <si>
    <t>VP03</t>
  </si>
  <si>
    <t>Hiển thị đúng email</t>
  </si>
  <si>
    <t>Email hiển thị đúng, trường này thường bị disable (mờ đi) không cho sửa.</t>
  </si>
  <si>
    <t>Email hiển thị đúng</t>
  </si>
  <si>
    <t>VP04</t>
  </si>
  <si>
    <t>Hiển thị avatar</t>
  </si>
  <si>
    <t>Avatar hiển thị đúng ảnh đã up, nếu chưa có thì hiện ảnh mặc định (defaultAvatar).</t>
  </si>
  <si>
    <t>Avatar hiển thị đúng</t>
  </si>
  <si>
    <t>VP05</t>
  </si>
  <si>
    <t>Không login nhưng truy cập profile</t>
  </si>
  <si>
    <t>Khách (Guest)</t>
  </si>
  <si>
    <t>Nhập URL profile</t>
  </si>
  <si>
    <t>Hệ thống chặn lại và tự động điều hướng (redirect) về trang /login.</t>
  </si>
  <si>
    <t>Chuyển sang trang Login</t>
  </si>
  <si>
    <t>VP06</t>
  </si>
  <si>
    <t>Hiển thị đầy đủ thông tin</t>
  </si>
  <si>
    <t>Hiển thị đầy đủ: Avatar, Họ Tên, Số điện thoại, Giới thiệu (Bio), Email...</t>
  </si>
  <si>
    <t>Hiển thị name, email, avatar</t>
  </si>
  <si>
    <t>VP07</t>
  </si>
  <si>
    <t>Hiển thị profile sau login</t>
  </si>
  <si>
    <t>User login thành công</t>
  </si>
  <si>
    <t>Dữ liệu load lên chính xác ngay lập tức không cần F5.</t>
  </si>
  <si>
    <t>Thông tin hiển thị đúng</t>
  </si>
  <si>
    <t>VP08</t>
  </si>
  <si>
    <t>Load trang profile</t>
  </si>
  <si>
    <t>Trang hiển thị dòng "Đang tải..." ngắn gọn rồi render dữ liệu nhanh chóng.</t>
  </si>
  <si>
    <t>Trang load thành công</t>
  </si>
  <si>
    <t>VP09</t>
  </si>
  <si>
    <t>Hiển thị profile sau refresh</t>
  </si>
  <si>
    <t>Refresh page</t>
  </si>
  <si>
    <t>Thông tin vẫn hiển thị đầy đủ, không bị mất session hoặc văng ra ngoài.</t>
  </si>
  <si>
    <t>Thông tin vẫn hiển thị</t>
  </si>
  <si>
    <t>VP10</t>
  </si>
  <si>
    <t>Hiển thị thông tin user đúng DB</t>
  </si>
  <si>
    <t>Dữ liệu trên giao diện web trùng khớp 100% với dữ liệu dưới Database.</t>
  </si>
  <si>
    <t>Thông tin trùng với database</t>
  </si>
  <si>
    <t>F2.2. Update Profile</t>
  </si>
  <si>
    <t>UP01</t>
  </si>
  <si>
    <t>Cập nhật tên thành công</t>
  </si>
  <si>
    <t>Hiện Toast báo thành công. Tên mới được cập nhật trên form và Header.</t>
  </si>
  <si>
    <t>Nhập Name mới</t>
  </si>
  <si>
    <t>Nguyen Van A</t>
  </si>
  <si>
    <t>Click Save</t>
  </si>
  <si>
    <t>Tên được cập nhật</t>
  </si>
  <si>
    <t>UP02</t>
  </si>
  <si>
    <t>Cập nhật email thành công</t>
  </si>
  <si>
    <t>Cập nhật thành công, định dạng số điện thoại được giữ nguyên.</t>
  </si>
  <si>
    <t>Nhập Email mới</t>
  </si>
  <si>
    <t>Email được cập nhật</t>
  </si>
  <si>
    <t>UP03</t>
  </si>
  <si>
    <t>Cập nhật avatar thành công</t>
  </si>
  <si>
    <t>Modal cắt ảnh đóng lại. Avatar mới hiển thị thành công trên UI và lưu lên Storage.</t>
  </si>
  <si>
    <t>Upload avatar</t>
  </si>
  <si>
    <t>avatar.jpg</t>
  </si>
  <si>
    <t>Avatar được cập nhật</t>
  </si>
  <si>
    <t>UP04</t>
  </si>
  <si>
    <t>Tên quá dài</t>
  </si>
  <si>
    <t>Ở trang Profile</t>
  </si>
  <si>
    <t>Form chặn submit, hiện cảnh báo "Tên hiển thị không được để trống".</t>
  </si>
  <si>
    <t>Nhập Name dài</t>
  </si>
  <si>
    <t>Hiển thị lỗi</t>
  </si>
  <si>
    <t>UP05</t>
  </si>
  <si>
    <t>Không nhập name</t>
  </si>
  <si>
    <t>Hệ thống báo lỗi "Định dạng file không hỗ trợ, vui lòng chọn ảnh JPG/PNG".</t>
  </si>
  <si>
    <t>Xóa Name</t>
  </si>
  <si>
    <t>Hiển thị required</t>
  </si>
  <si>
    <t>UP06</t>
  </si>
  <si>
    <t>Upload file avatar sai định dạng</t>
  </si>
  <si>
    <t>Hệ thống chặn hoặc tự động nén (imageCompression) thành công mà không bị crash.</t>
  </si>
  <si>
    <t>Upload file</t>
  </si>
  <si>
    <t>avatar.txt</t>
  </si>
  <si>
    <t>Hiển thị lỗi file</t>
  </si>
  <si>
    <t>UP07</t>
  </si>
  <si>
    <t>Upload avatar quá dung lượng</t>
  </si>
  <si>
    <t>Nút Lưu bị mờ (Disable) hoặc ấn vào không gọi API để tiết kiệm tài nguyên.</t>
  </si>
  <si>
    <t>Upload file lớn</t>
  </si>
  <si>
    <t>avatar10MB.jpg</t>
  </si>
  <si>
    <t>Hiển thị lỗi size</t>
  </si>
  <si>
    <t>UP8</t>
  </si>
  <si>
    <t>Không thay đổi dữ liệu</t>
  </si>
  <si>
    <t>Thông tin vừa cập nhật vẫn hiển thị đúng, không bị revert về tên cũ.</t>
  </si>
  <si>
    <t>Không có thay đổi</t>
  </si>
  <si>
    <t>UP9</t>
  </si>
  <si>
    <t>Refresh sau update</t>
  </si>
  <si>
    <t>User update thành công</t>
  </si>
  <si>
    <t>Gọi API update thành công tất cả các trường trong 1 lần duy nhất.</t>
  </si>
  <si>
    <t>Thông tin vẫn đúng</t>
  </si>
  <si>
    <t>F2.3. Public Profile</t>
  </si>
  <si>
    <t>PP01</t>
  </si>
  <si>
    <t>Xem Public Profile hợp lệ</t>
  </si>
  <si>
    <t>Đang ở trang chủ.</t>
  </si>
  <si>
    <t>Click Avatar người bán</t>
  </si>
  <si>
    <t>Click</t>
  </si>
  <si>
    <t>Hiển thị đúng profile người bán.</t>
  </si>
  <si>
    <t>PP02</t>
  </si>
  <si>
    <t>Truy cập profile có ID không tồn tại.</t>
  </si>
  <si>
    <t>Đang mở trình duyệt.</t>
  </si>
  <si>
    <t>Nhập URL profile sai.</t>
  </si>
  <si>
    <t>/profile/sai-id</t>
  </si>
  <si>
    <t>Hiển thị trang 404.</t>
  </si>
  <si>
    <t>Thông báo "Trang này không tìm thấy"</t>
  </si>
  <si>
    <t>PP03</t>
  </si>
  <si>
    <t>Kiểm tra danh sách bài đăng trên trang profile.</t>
  </si>
  <si>
    <t>Đang ở trang profile.</t>
  </si>
  <si>
    <t>Cuộn xem danh sách bài.</t>
  </si>
  <si>
    <t>View UI</t>
  </si>
  <si>
    <t>Chỉ hiện các bài đang hiển thị.</t>
  </si>
  <si>
    <t>PP04</t>
  </si>
  <si>
    <t>Kiểm tra chức năng Load thêm bài.</t>
  </si>
  <si>
    <t>Profile có &gt;10 bài.</t>
  </si>
  <si>
    <t>Cuộn xuống cuối danh sách.</t>
  </si>
  <si>
    <t>Scroll</t>
  </si>
  <si>
    <t>Hệ thống load thêm bài.</t>
  </si>
  <si>
    <t>PP05</t>
  </si>
  <si>
    <t>Xem chi tiết bài đăng từ trang profile.</t>
  </si>
  <si>
    <t>Click vào một bài đăng.</t>
  </si>
  <si>
    <t>Chuyển sang trang chi tiết bài.</t>
  </si>
  <si>
    <t>PP06</t>
  </si>
  <si>
    <t>Kiểm tra khi Guest (khách) bấm nút Chat.</t>
  </si>
  <si>
    <t>Chưa đăng nhập.</t>
  </si>
  <si>
    <t>Nhấn nút "Chat".</t>
  </si>
  <si>
    <t>Chuyển hướng sang trang Login.</t>
  </si>
  <si>
    <t>Không có nút "chat"</t>
  </si>
  <si>
    <t>PP07</t>
  </si>
  <si>
    <t>Kiểm tra khi User đã đăng nhập bấm nút Chat.</t>
  </si>
  <si>
    <t>Mở cửa sổ chat.</t>
  </si>
  <si>
    <t>Login thành công! Khi ấn nút chat sẽ hiển thị trang Chat</t>
  </si>
  <si>
    <t>PP08</t>
  </si>
  <si>
    <t>Kiểm tra khi xem profile của chính mình.</t>
  </si>
  <si>
    <t>Nhập URL profile của bản thân.</t>
  </si>
  <si>
    <t>Self ID</t>
  </si>
  <si>
    <t>Nút chat bị ẩn.</t>
  </si>
  <si>
    <t>PP09</t>
  </si>
  <si>
    <t>Kiểm tra khi xem profile của user bị khóa.</t>
  </si>
  <si>
    <t>User đã bị ban.</t>
  </si>
  <si>
    <t>Mở profile của user đó.</t>
  </si>
  <si>
    <t>Banned user</t>
  </si>
  <si>
    <t>Hiển thị thông báo tài khoản bị khóa.</t>
  </si>
  <si>
    <t>PP10</t>
  </si>
  <si>
    <t>Kiểm tra profile của user mới, chưa có bài đăng.</t>
  </si>
  <si>
    <t>User mới tạo.</t>
  </si>
  <si>
    <t>New user</t>
  </si>
  <si>
    <t>Hiển thị thông báo chưa có bài đăng nào.</t>
  </si>
  <si>
    <t>St #</t>
  </si>
  <si>
    <t>St Action</t>
  </si>
  <si>
    <t>F3.1. Create Post</t>
  </si>
  <si>
    <t xml:space="preserve"> Bỏ trống tất cả các trường</t>
  </si>
  <si>
    <t>Đã Login, ở trang Đăng tin</t>
  </si>
  <si>
    <t>Để trống toàn bộ các input trên form</t>
  </si>
  <si>
    <t>Dữ liệu rỗng</t>
  </si>
  <si>
    <t>Form không submit. Báo lỗi đỏ "Vui lòng không để trống" ở các trường bắt buộc.</t>
  </si>
  <si>
    <t>Vui lòng đăng ít nhất 1 ảnh.</t>
  </si>
  <si>
    <t>Pass</t>
  </si>
  <si>
    <t>Bấm "Đăng bài"</t>
  </si>
  <si>
    <t xml:space="preserve"> Tiêu đề bỏ trống</t>
  </si>
  <si>
    <t>Nhập đủ các trường khác, chừa trống Tiêu đề</t>
  </si>
  <si>
    <t>Tiêu đề: ""</t>
  </si>
  <si>
    <t>Không submit. Báo lỗi "Tiêu đề không được để trống".</t>
  </si>
  <si>
    <t>Tiêu đề tin đăng là bắt buộc.</t>
  </si>
  <si>
    <t>CP03</t>
  </si>
  <si>
    <t xml:space="preserve"> Tiêu đề 1 ký tự</t>
  </si>
  <si>
    <t>Ở trang Đăng tin</t>
  </si>
  <si>
    <t>Nhập 1 chữ cái vào ô Tiêu đề</t>
  </si>
  <si>
    <t>Tiêu đề: "A"</t>
  </si>
  <si>
    <t>Cho phép nhập (hoặc báo lỗi nếu hệ thống quy định độ dài min, VD: min=10).</t>
  </si>
  <si>
    <t>Tiêu đề tin đăng phải có ít nhất 10 ký tự.</t>
  </si>
  <si>
    <t>CP04</t>
  </si>
  <si>
    <t xml:space="preserve"> Tiêu đề dài tối đa</t>
  </si>
  <si>
    <t>Nhập Tiêu đề dài đúng 100 ký tự</t>
  </si>
  <si>
    <t>Tiêu đề: 100 char</t>
  </si>
  <si>
    <t>Cho phép nhập đủ 100 ký tự và Đăng bài thành công.</t>
  </si>
  <si>
    <t>Đăng tin thành công!</t>
  </si>
  <si>
    <t>CP05</t>
  </si>
  <si>
    <t xml:space="preserve"> Tiêu đề vượt quá max</t>
  </si>
  <si>
    <t>Nhập Tiêu đề dài 101 ký tự</t>
  </si>
  <si>
    <t>Tiêu đề: 101 char</t>
  </si>
  <si>
    <t>Ô input không nhận ký tự thừa, hoặc bấm đăng báo lỗi "Tiêu đề quá dài".</t>
  </si>
  <si>
    <t>Không hiển thị thông báo lỗi</t>
  </si>
  <si>
    <t>Quan sát ô input</t>
  </si>
  <si>
    <t>CP06</t>
  </si>
  <si>
    <t xml:space="preserve"> Nhập chữ vào ô Giá bán</t>
  </si>
  <si>
    <t>Focus vào ô Giá bán</t>
  </si>
  <si>
    <t>Giá: "abc"</t>
  </si>
  <si>
    <t>Ô input tự chặn không cho gõ chữ, hoặc báo lỗi định dạng ngay lập tức.</t>
  </si>
  <si>
    <t>Giá là bắt buộc.</t>
  </si>
  <si>
    <t>Gõ chữ cái "abc"</t>
  </si>
  <si>
    <t>CP07</t>
  </si>
  <si>
    <t xml:space="preserve"> Giá bán âm</t>
  </si>
  <si>
    <t>Gõ "-50000" vào ô Giá bán</t>
  </si>
  <si>
    <t>Giá: "-50000"</t>
  </si>
  <si>
    <t>Báo lỗi "Giá không hợp lệ / Phải lớn hơn hoặc bằng 0".</t>
  </si>
  <si>
    <t>Bấm "Đăng bài" (hoặc blur khỏi ô)</t>
  </si>
  <si>
    <t>CP08</t>
  </si>
  <si>
    <t xml:space="preserve"> Giá bán bằng 0</t>
  </si>
  <si>
    <t>Nhập số 0 vào ô Giá</t>
  </si>
  <si>
    <t>Giá: "0"</t>
  </si>
  <si>
    <t>Hợp lệ. Có thể hệ thống tự quy đổi thành text "Thỏa thuận" trên UI.</t>
  </si>
  <si>
    <t>CP09</t>
  </si>
  <si>
    <t xml:space="preserve"> Giá bán siêu lớn</t>
  </si>
  <si>
    <t>Nhập số tiền "999999999999"</t>
  </si>
  <si>
    <t>Giá: 999 tỷ</t>
  </si>
  <si>
    <t>Vượt quá giới hạn, báo lỗi "Giá trị quá lớn".</t>
  </si>
  <si>
    <t>Giá phải nhỏ hơn 200.000.000đ.</t>
  </si>
  <si>
    <t>CP10</t>
  </si>
  <si>
    <t xml:space="preserve"> Chọn Danh mục mẹ - con</t>
  </si>
  <si>
    <t>Chọn Danh mục cha là "Xe cộ"</t>
  </si>
  <si>
    <t>DM: "Xe cộ"</t>
  </si>
  <si>
    <t>Load đúng các DM con (Xe máy, Ô tô, Xe đạp) tương ứng với Xe cộ.</t>
  </si>
  <si>
    <t>Mở Dropdown Danh mục con</t>
  </si>
  <si>
    <t>CP11</t>
  </si>
  <si>
    <t xml:space="preserve"> Mô tả chứa ký tự đặc biệt</t>
  </si>
  <si>
    <t>Nhập mô tả có Emoji và dấu hashtag</t>
  </si>
  <si>
    <t>"Hàng ngon 🔥 #sale"</t>
  </si>
  <si>
    <t>Nhập bình thường, lưu DB đúng định dạng hiển thị.</t>
  </si>
  <si>
    <t>Tình trạng là bắt buộc.</t>
  </si>
  <si>
    <t>CP12</t>
  </si>
  <si>
    <t xml:space="preserve"> Chọn 0 ảnh (Không ảnh)</t>
  </si>
  <si>
    <t>Điền đủ text, cố tình không upload ảnh nào</t>
  </si>
  <si>
    <t>Ảnh: 0 file</t>
  </si>
  <si>
    <t>Báo lỗi "Vui lòng tải lên ít nhất 1 hình ảnh".</t>
  </si>
  <si>
    <t>CP13</t>
  </si>
  <si>
    <t xml:space="preserve"> Chọn 1 ảnh</t>
  </si>
  <si>
    <t>Tải 1 ảnh hợp lệ (.jpg, &lt;2MB)</t>
  </si>
  <si>
    <t>Ảnh: 1 file</t>
  </si>
  <si>
    <t>Hình ảnh preview hiện lên. Cho phép đăng bài thành công.</t>
  </si>
  <si>
    <t>CP14</t>
  </si>
  <si>
    <t xml:space="preserve"> Chọn 12 ảnh (Tối đa)</t>
  </si>
  <si>
    <t>Bôi đen và chọn cùng lúc 5 file ảnh</t>
  </si>
  <si>
    <t>Ảnh: 5 files</t>
  </si>
  <si>
    <t>Preview hiển thị đầy đủ 5 ảnh trên UI.</t>
  </si>
  <si>
    <t>Quan sát khung preview</t>
  </si>
  <si>
    <t>CP15</t>
  </si>
  <si>
    <t xml:space="preserve"> Chọn 13 ảnh (Vượt tối đa)</t>
  </si>
  <si>
    <t>Bôi đen và chọn cùng lúc 6 file ảnh</t>
  </si>
  <si>
    <t>Ảnh: 6 files</t>
  </si>
  <si>
    <t>Toast/Alert báo lỗi "Chỉ được tải lên tối đa 5 ảnh". File thừa bị loại bỏ.</t>
  </si>
  <si>
    <t>Bạn chỉ được đăng tối đa 12 ảnh.</t>
  </si>
  <si>
    <t>Quan sát hệ thống xử lý</t>
  </si>
  <si>
    <t>CP16</t>
  </si>
  <si>
    <t xml:space="preserve"> Upload sai định dạng</t>
  </si>
  <si>
    <t>Chọn upload file .docx hoặc .pdf</t>
  </si>
  <si>
    <t>Ảnh: 1 file .pdf</t>
  </si>
  <si>
    <t>Hệ thống chặn lại, báo lỗi "Định dạng không hỗ trợ".</t>
  </si>
  <si>
    <t>Mô tả chi tiết là bắt buộc.</t>
  </si>
  <si>
    <t>Bấm Xác nhận tải lên</t>
  </si>
  <si>
    <t>CP17</t>
  </si>
  <si>
    <t xml:space="preserve"> Upload file quá nặng</t>
  </si>
  <si>
    <t>Chọn upload file ảnh nặng 20MB</t>
  </si>
  <si>
    <t>Ảnh: &gt; 5MB</t>
  </si>
  <si>
    <t>Báo lỗi "Dung lượng ảnh vượt quá 5MB".</t>
  </si>
  <si>
    <t>Chờ tải file</t>
  </si>
  <si>
    <t>CP18</t>
  </si>
  <si>
    <t xml:space="preserve"> Xóa ảnh ở phần Preview</t>
  </si>
  <si>
    <t>Upload thành công 2 ảnh lên preview</t>
  </si>
  <si>
    <t>Action: Remove</t>
  </si>
  <si>
    <t>Ảnh số 2 biến mất khỏi danh sách preview.</t>
  </si>
  <si>
    <t>Bấm dấu X ở góc ảnh thứ 2</t>
  </si>
  <si>
    <t>CP19</t>
  </si>
  <si>
    <t xml:space="preserve"> Logic Dropdown (Tỉnh)</t>
  </si>
  <si>
    <t>Mở Dropdown Tỉnh/Thành và chọn "Hà Nội"</t>
  </si>
  <si>
    <t>Tỉnh: "Hà Nội"</t>
  </si>
  <si>
    <t>Dropdown Huyện được enable và load danh sách tương ứng.</t>
  </si>
  <si>
    <t>Hãng là bắt buộc.</t>
  </si>
  <si>
    <t>Kiểm tra Dropdown Huyện</t>
  </si>
  <si>
    <t>CP20</t>
  </si>
  <si>
    <t xml:space="preserve"> Logic Dropdown (Huyện)</t>
  </si>
  <si>
    <t>Tại Dropdown Huyện, chọn "Cầu Giấy"</t>
  </si>
  <si>
    <t>Huyện: "Cầu Giấy"</t>
  </si>
  <si>
    <t>Dropdown Xã/Phường được enable và load danh sách tương ứng.</t>
  </si>
  <si>
    <t>Thực tế UI: Dropdown Phường/Xã đã được mở khóa (Enabled = True)</t>
  </si>
  <si>
    <t>Kiểm tra Dropdown Xã/Phường</t>
  </si>
  <si>
    <t>CP21</t>
  </si>
  <si>
    <t xml:space="preserve"> Thiếu Địa chỉ chi tiết</t>
  </si>
  <si>
    <t>Chọn xong Phường/Xã, cố tình bỏ trống ô số nhà</t>
  </si>
  <si>
    <t>Đ/c chi tiết: ""</t>
  </si>
  <si>
    <t>Báo lỗi "Vui lòng nhập địa chỉ cụ thể" (hoặc cho pass nếu design không bắt buộc).</t>
  </si>
  <si>
    <t>CP22</t>
  </si>
  <si>
    <t xml:space="preserve"> Đổi Tỉnh sau khi chọn Xã</t>
  </si>
  <si>
    <t>Đã chọn xong cấu trúc Tỉnh - Huyện - Xã</t>
  </si>
  <si>
    <t>Action: Change</t>
  </si>
  <si>
    <t>Dropdown Huyện và Xã bị reset về trạng thái rỗng.</t>
  </si>
  <si>
    <t>Đã reset rỗng Dropdown thành công. Huyện: [Text: '-- Chọn Quận/Huyện --', Value: ''] | Xã: [Text: '-- Chọn Phường/Xã --', Value: '']</t>
  </si>
  <si>
    <t>Chọn lại 1 Tỉnh khác</t>
  </si>
  <si>
    <t>CP23</t>
  </si>
  <si>
    <t xml:space="preserve"> Đăng tin Thành công</t>
  </si>
  <si>
    <t>Điền đầy đủ và đúng toàn bộ thông tin form</t>
  </si>
  <si>
    <t>Data: Valid Full</t>
  </si>
  <si>
    <t>Hiển thị Toast "Đăng bài thành công".</t>
  </si>
  <si>
    <t>CP24</t>
  </si>
  <si>
    <t xml:space="preserve"> XSS Injection qua Form</t>
  </si>
  <si>
    <t>Nhập mã script alert vào Textarea Mô tả</t>
  </si>
  <si>
    <t>&lt;script&gt;alert('Bạn đã bị hack!');&lt;/script&gt;</t>
  </si>
  <si>
    <t>Hệ thống mã hóa ký tự (sanitized), hiển thị text thuần, không chạy script.</t>
  </si>
  <si>
    <t>CP25</t>
  </si>
  <si>
    <t xml:space="preserve"> Rớt mạng khi Upload</t>
  </si>
  <si>
    <t>Đang tải ảnh lên thì ngắt kết nối mạng</t>
  </si>
  <si>
    <t>Status: Offline</t>
  </si>
  <si>
    <t>Báo lỗi kết nối mạng. Hình ảnh báo Upload Failed, không submit được form.</t>
  </si>
  <si>
    <t>CP26</t>
  </si>
  <si>
    <t xml:space="preserve"> File ảnh ngay mốc max</t>
  </si>
  <si>
    <t>Upload 1 file CHÍNH XÁC ở mốc max dung lượng (VD: 5MB)</t>
  </si>
  <si>
    <t>Ảnh: Đúng 5MB</t>
  </si>
  <si>
    <t>Vẫn cho phép upload thành công, không báo lỗi.</t>
  </si>
  <si>
    <t>Đợi tải file</t>
  </si>
  <si>
    <t>CP27</t>
  </si>
  <si>
    <t xml:space="preserve"> Tên file ảnh cực dị</t>
  </si>
  <si>
    <t>Upload file có tên tiếng Việt có dấu, chứa emoji</t>
  </si>
  <si>
    <t>Tên file lạ</t>
  </si>
  <si>
    <t>CSDL lưu URL ảnh bình thường, tự động hash tên hoặc không bị lỗi.</t>
  </si>
  <si>
    <t>Lưu form</t>
  </si>
  <si>
    <t>CP28</t>
  </si>
  <si>
    <t xml:space="preserve"> Mô tả rỗng</t>
  </si>
  <si>
    <t>Bỏ trống hoàn toàn ô Textarea Mô tả</t>
  </si>
  <si>
    <t>Mô tả: ""</t>
  </si>
  <si>
    <t>Báo lỗi bắt buộc nhập, form chặn submit.</t>
  </si>
  <si>
    <t>CP29</t>
  </si>
  <si>
    <t xml:space="preserve"> Mô tả dài vượt mức</t>
  </si>
  <si>
    <t>Copy đoạn text dài hơn mốc tối đa (&gt;3000 ký tự)</t>
  </si>
  <si>
    <t>Mô tả: &gt;3000</t>
  </si>
  <si>
    <t>Thẻ textarea chặn không cho nhập thêm, hoặc submit báo lỗi vượt quá giới hạn.</t>
  </si>
  <si>
    <t>Dán vào ô Mô tả</t>
  </si>
  <si>
    <t>CP30</t>
  </si>
  <si>
    <t xml:space="preserve"> Spam click "Đăng bài"</t>
  </si>
  <si>
    <t>Điền đủ form chuẩn</t>
  </si>
  <si>
    <t>Action: Spam</t>
  </si>
  <si>
    <t>Hệ thống Disable nút ngay sau click đầu tiên, tránh sinh ra tin rác trùng lặp.</t>
  </si>
  <si>
    <t>Click liên tục nhanh gọn vào nút Đăng</t>
  </si>
  <si>
    <t>CP31</t>
  </si>
  <si>
    <t>Vượt qua giới hạn Maxlength của ô Tiêu đề (Bypass DOM)</t>
  </si>
  <si>
    <t>Dùng F12 (hoặc JS Selenium) xóa thuộc tính maxlength của input, paste chuỗi 500 ký tự vào.</t>
  </si>
  <si>
    <t>Tiêu đề: "A" x 500 lần</t>
  </si>
  <si>
    <t>Hệ thống (Backend) chặn lại, báo lỗi "Tiêu đề vượt quá độ dài cho phép".</t>
  </si>
  <si>
    <t>Bài viết không được lưu vào Database.</t>
  </si>
  <si>
    <t>CP32</t>
  </si>
  <si>
    <t>Spam click liên tục (Race Condition / Double Click)</t>
  </si>
  <si>
    <t>Đã Login, điền đủ form hợp lệ</t>
  </si>
  <si>
    <t>Điền đủ form. Chuẩn bị thao tác click.</t>
  </si>
  <si>
    <t>Form hợp lệ</t>
  </si>
  <si>
    <t>Chỉ có đúng 1 bài viết được tạo ra trên hệ thống.</t>
  </si>
  <si>
    <t>Dùng Script click liên tiếp 5 lần vào nút "Đăng bài" với độ trễ 0ms</t>
  </si>
  <si>
    <t>Click x 5 lần</t>
  </si>
  <si>
    <t>Không tạo ra các bài viết trùng lặp (Duplicate Data).</t>
  </si>
  <si>
    <t>CP33</t>
  </si>
  <si>
    <t>Upload file mã độc / sai định dạng (Bypass File Type)</t>
  </si>
  <si>
    <t>Đã Login, điền đủ text form</t>
  </si>
  <si>
    <t>Truyền đường dẫn của file .exe, .pdf hoặc .svg chứa script vào thẻ input upload ảnh</t>
  </si>
  <si>
    <t>File: virus.exe hoặc hack.svg</t>
  </si>
  <si>
    <t>Hệ thống chặn ngay lập tức, báo lỗi "Định dạng file không hỗ trợ".</t>
  </si>
  <si>
    <t>Quan sát preview và bấm Đăng bài</t>
  </si>
  <si>
    <t>Không up được ảnh sai định dạng.</t>
  </si>
  <si>
    <t>F3.2. Edit &amp; Delete Post</t>
  </si>
  <si>
    <t>ED01</t>
  </si>
  <si>
    <t xml:space="preserve"> Data hiển thị khi Sửa</t>
  </si>
  <si>
    <t>Trang Quản lý tin</t>
  </si>
  <si>
    <t>Tìm bài cũ, bấm nút Edit (Sửa)</t>
  </si>
  <si>
    <t>Action: Edit</t>
  </si>
  <si>
    <t>Trang EditPost render đầy đủ, chính xác Data cũ của bài viết đó vào các ô tương ứng.</t>
  </si>
  <si>
    <t>Yêu cầu chỉnh sửa đã được gửi đi xét duyệt.</t>
  </si>
  <si>
    <t>Quan sát trang Sửa bài</t>
  </si>
  <si>
    <t>ED02</t>
  </si>
  <si>
    <t xml:space="preserve"> Xóa trắng khi đang Edit</t>
  </si>
  <si>
    <t>Form Sửa tin</t>
  </si>
  <si>
    <t>Bôi đen và Xóa trắng toàn bộ ô Tiêu đề</t>
  </si>
  <si>
    <t>Báo lỗi Validate đỏ "Tiêu đề không được để trống", form không submit.</t>
  </si>
  <si>
    <t>Bấm Cập nhật</t>
  </si>
  <si>
    <t>ED03</t>
  </si>
  <si>
    <t xml:space="preserve"> Edit thêm hình ảnh</t>
  </si>
  <si>
    <t>Bài có sẵn 2 ảnh, click upload tải thêm 1 ảnh mới</t>
  </si>
  <si>
    <t>Ảnh: 3 files</t>
  </si>
  <si>
    <t>Lưu thành công. Bài viết hiển thị 3 ảnh ở ngoài UI thực tế.</t>
  </si>
  <si>
    <t>ED04</t>
  </si>
  <si>
    <t xml:space="preserve"> Cập nhật thành công</t>
  </si>
  <si>
    <t>Đổi Giá bán từ 10k thành 20k</t>
  </si>
  <si>
    <t>Giá: 20000</t>
  </si>
  <si>
    <t>Hiện Toast "Cập nhật thành công". Giá mới 20k hiển thị đúng.</t>
  </si>
  <si>
    <t>ED05</t>
  </si>
  <si>
    <t xml:space="preserve"> Hủy Xóa bài đăng</t>
  </si>
  <si>
    <t>Bấm icon Thùng rác để Xóa bài</t>
  </si>
  <si>
    <t>Action: Cancel</t>
  </si>
  <si>
    <t>Đóng Modal. Bài viết vẫn nằm nguyên trong danh sách bình thường.</t>
  </si>
  <si>
    <t>Trên Modal cảnh báo chọn nút "Hủy"</t>
  </si>
  <si>
    <t>ED06</t>
  </si>
  <si>
    <t xml:space="preserve"> Xác nhận Xóa bài đăng</t>
  </si>
  <si>
    <t>Action: Confirm</t>
  </si>
  <si>
    <t>Toast "Đã xóa bài viết". Thẻ bài viết biến mất hoàn toàn khỏi danh sách.</t>
  </si>
  <si>
    <t xml:space="preserve">Cập nhật thất bại. Lỗi hiển thị: </t>
  </si>
  <si>
    <t>Trên Modal cảnh báo chọn "Đồng ý/Xóa"</t>
  </si>
  <si>
    <t>ED07</t>
  </si>
  <si>
    <t xml:space="preserve"> Ẩn tin đang hiển thị</t>
  </si>
  <si>
    <t>Tab Đang bán</t>
  </si>
  <si>
    <t>Tìm thẻ bài viết đang bán</t>
  </si>
  <si>
    <t>Action: Hide</t>
  </si>
  <si>
    <t>Bài viết bị rút xuống, nhảy sang Tab "Đã ẩn" (Archived). Mất khỏi kết quả tìm kiếm public.</t>
  </si>
  <si>
    <t>Bấm nút/icon "Ẩn tin"</t>
  </si>
  <si>
    <t>ED08</t>
  </si>
  <si>
    <t xml:space="preserve"> Hiện lại tin bị ẩn</t>
  </si>
  <si>
    <t>Tab Đã ẩn</t>
  </si>
  <si>
    <t>Tìm thẻ bài viết bị ẩn</t>
  </si>
  <si>
    <t>Action: Unhide</t>
  </si>
  <si>
    <t>Bài viết quay về Tab "Đang hiển thị" và search được bình thường.</t>
  </si>
  <si>
    <t>Bấm nút/icon "Hiện tin"</t>
  </si>
  <si>
    <t>ED09</t>
  </si>
  <si>
    <t xml:space="preserve"> Đánh dấu Đã Bán</t>
  </si>
  <si>
    <t>Tìm thẻ bài viết</t>
  </si>
  <si>
    <t>Action: Sold</t>
  </si>
  <si>
    <t>Trạng thái chuyển thành "Đã bán". Bài mờ đi, ẩn thông tin LH, gỡ khỏi tìm kiếm chung.</t>
  </si>
  <si>
    <t>Bấm nút "Đánh dấu đã bán"</t>
  </si>
  <si>
    <t>ED10</t>
  </si>
  <si>
    <t xml:space="preserve"> Edit bài người khác</t>
  </si>
  <si>
    <t>Đã Login (User A)</t>
  </si>
  <si>
    <t>Có ID bài viết của User B</t>
  </si>
  <si>
    <t>URL bypass</t>
  </si>
  <si>
    <t>Hệ thống backend chặn quyền (status 403), Frontend hiển thị trang lỗi không cho Edit.</t>
  </si>
  <si>
    <t>Sai text báo lỗi. Kì vọng: 'không có quyền' - Thực tế: 'Không hiển thị thông báo lỗi'</t>
  </si>
  <si>
    <t>Gõ trực tiếp URL /sua-tin/:idB</t>
  </si>
  <si>
    <t>ED11</t>
  </si>
  <si>
    <t>Truy cập trái phép bài của người khác (IDOR / Auth Bypass)</t>
  </si>
  <si>
    <t>Đã Login User A, Bài viết thuộc User B</t>
  </si>
  <si>
    <t>Nhập trực tiếp URL /edit-post/{ID_CỦA_USER_B} lên thanh địa chỉ trình duyệt</t>
  </si>
  <si>
    <t>URL: /edit-post/post-user-b</t>
  </si>
  <si>
    <t>Hệ thống chặn lại và báo lỗi "Không tìm thấy tin hoặc bạn không có quyền sửa".</t>
  </si>
  <si>
    <t>Quan sát phản hồi của trang và URL</t>
  </si>
  <si>
    <t>Tự động đẩy về trang /quan-ly-tin.</t>
  </si>
  <si>
    <t>ED12</t>
  </si>
  <si>
    <t>Can thiệp DOM sửa trường bị vô hiệu hóa (Disabled Fields)</t>
  </si>
  <si>
    <t>Đã Login, ở trang Sửa tin của mình</t>
  </si>
  <si>
    <t>Dùng JS (hoặc F12) xóa thuộc tính 'disabled' của ô Danh mục và Khu vực, sau đó chọn giá trị mới.</t>
  </si>
  <si>
    <t>removeAttribute('disabled')</t>
  </si>
  <si>
    <t>Hệ thống (Backend) bỏ qua trường này, không cập nhật Danh mục mới vào DB.</t>
  </si>
  <si>
    <t>Bấm "Lưu Thay Đổi" và kiểm tra lại bài viết</t>
  </si>
  <si>
    <t>Danh mục và Khu vực vẫn giữ nguyên giá trị cũ gốc.</t>
  </si>
  <si>
    <t>ED13</t>
  </si>
  <si>
    <t>Xóa sạch ảnh cũ và cố tình gửi form (Bypass Validate)</t>
  </si>
  <si>
    <t>Đã Login, bài đang có sẵn ảnh</t>
  </si>
  <si>
    <t>Bấm nút xóa [x] tất cả các ảnh cũ đang có trên giao diện.</t>
  </si>
  <si>
    <t>Action: Remove all images</t>
  </si>
  <si>
    <t>Giao diện hiện lỗi "Vui lòng đăng ít nhất 1 ảnh".</t>
  </si>
  <si>
    <t>Sai text báo lỗi. Kì vọng: 'ít nhất 1 ảnh' - Thực tế: 'Yêu cầu chỉnh sửa đã được gửi đi xét duyệt.'</t>
  </si>
  <si>
    <t>Dùng JS chặn hàm validateForm của React, ép submit gọi API gửi data Rỗng</t>
  </si>
  <si>
    <t>Bypass JS Submit</t>
  </si>
  <si>
    <t>Backend trả về lỗi, không cho phép lưu đè bài viết mất ảnh.</t>
  </si>
  <si>
    <t>ED14</t>
  </si>
  <si>
    <t>Bơm số khổng lồ đánh sập hàm dịch giá tiền (Number Overflow)</t>
  </si>
  <si>
    <t>Đã Login, ở trang Sửa tin</t>
  </si>
  <si>
    <t>Paste chuỗi 30 chữ số 9 vào ô Giá tiền (Price).</t>
  </si>
  <si>
    <t>Giá: 999999999999999999999</t>
  </si>
  <si>
    <t>Trang web không bị crash (văng màn hình trắng React).</t>
  </si>
  <si>
    <t>Sai text báo lỗi. Kì vọng: 'vượt mức' - Thực tế: 'Không hiển thị thông báo lỗi'</t>
  </si>
  <si>
    <t>Quan sát dòng text "Bằng chữ" và bấm Lưu</t>
  </si>
  <si>
    <t>Báo lỗi giá tiền vượt mức cho phép hoặc hiện "0 đồng".</t>
  </si>
  <si>
    <t>ED15</t>
  </si>
  <si>
    <t>Spam click "Lưu Thay Đổi" (Race Condition)</t>
  </si>
  <si>
    <t>Đã Login, điền form sửa hợp lệ</t>
  </si>
  <si>
    <t>Thay đổi Tiêu đề 1 chút. Chuẩn bị click.</t>
  </si>
  <si>
    <t>Text: "Sửa tiêu đề"</t>
  </si>
  <si>
    <t>Nút "Lưu Thay Đổi" chuyển sang trạng thái "Đang lưu..." và bị disable ngay lập tức.</t>
  </si>
  <si>
    <t>Dùng Selenium click vòng lặp 5 lần vào nút Lưu trong 0.05 giây</t>
  </si>
  <si>
    <t>Dữ liệu lưu 1 lần thành công, không văng lỗi đụng độ DB.</t>
  </si>
  <si>
    <t>F3.3. Draft &amp; Preview</t>
  </si>
  <si>
    <t>DP01</t>
  </si>
  <si>
    <t xml:space="preserve"> Lưu nháp trống</t>
  </si>
  <si>
    <t>Form Đăng tin</t>
  </si>
  <si>
    <t>Để form trắng tinh chưa nhập gì</t>
  </si>
  <si>
    <t>Data: ""</t>
  </si>
  <si>
    <t>Có thể báo lỗi "Cần nhập ít nhất tiêu đề", hoặc hệ thống cho phép lưu Object rỗng (Draft).</t>
  </si>
  <si>
    <t>Bấm nút "Lưu Nháp"</t>
  </si>
  <si>
    <t>DP02</t>
  </si>
  <si>
    <t xml:space="preserve"> Lưu nháp 1 nửa dữ liệu</t>
  </si>
  <si>
    <t>Nhập xong Tiêu đề, Tải ảnh, cố ý bỏ trống Giá</t>
  </si>
  <si>
    <t>Data: 1 nửa</t>
  </si>
  <si>
    <t>Toast "Lưu nháp thành công". Redirect chuyển sang Tab Bản nháp trong Quản lý tin.</t>
  </si>
  <si>
    <t>Bấm "Lưu Nháp"</t>
  </si>
  <si>
    <t>DP03</t>
  </si>
  <si>
    <t xml:space="preserve"> Mở lại bản nháp</t>
  </si>
  <si>
    <t>Tab Bản nháp</t>
  </si>
  <si>
    <t>Tìm tin nháp cũ</t>
  </si>
  <si>
    <t>Form nhập liệu load lại chính xác những dữ liệu đang viết dở ở DP02.</t>
  </si>
  <si>
    <t>Click Edit ở bản nháp đó</t>
  </si>
  <si>
    <t>DP04</t>
  </si>
  <si>
    <t xml:space="preserve"> Đăng từ bản nháp (Thiếu)</t>
  </si>
  <si>
    <t>Form Sửa nháp</t>
  </si>
  <si>
    <t>Giữ nguyên trạng thái Form bị thiếu Giá</t>
  </si>
  <si>
    <t>Data: Thiếu Giá</t>
  </si>
  <si>
    <t>Hệ thống chặn lại, báo lỗi validate bắt buộc phải nhập Giá, không cho phép đăng public.</t>
  </si>
  <si>
    <t>Bấm "Đăng bài" (Public bài)</t>
  </si>
  <si>
    <t>DP05</t>
  </si>
  <si>
    <t xml:space="preserve"> Đăng nháp thành công</t>
  </si>
  <si>
    <t>Điền bổ sung nốt trường Giá và Khu vực</t>
  </si>
  <si>
    <t>Data: Full</t>
  </si>
  <si>
    <t>Đăng thành công, bài chuyển từ Tab Nháp sang Tab Đang bán hoặc Chờ duyệt.</t>
  </si>
  <si>
    <t>DP06</t>
  </si>
  <si>
    <t xml:space="preserve"> Xem trước (Preview)</t>
  </si>
  <si>
    <t>Form Đăng/Sửa</t>
  </si>
  <si>
    <t>Nhập đủ data vào các Input</t>
  </si>
  <si>
    <t>Action: Preview</t>
  </si>
  <si>
    <t>Bật Modal hoặc Chuyển trang Preview hiển thị UI y hệt trang chi tiết thật dưới góc nhìn khách.</t>
  </si>
  <si>
    <t>Bấm nút "Xem trước"</t>
  </si>
  <si>
    <t>DP07</t>
  </si>
  <si>
    <t xml:space="preserve"> Đóng Preview</t>
  </si>
  <si>
    <t>Trang Preview</t>
  </si>
  <si>
    <t>Bấm biểu tượng X / nút Trở lại</t>
  </si>
  <si>
    <t>Action: Close</t>
  </si>
  <si>
    <t>Tắt chế độ Preview, quay lại giao diện form nhập liệu với các dữ liệu vẫn giữ nguyên.</t>
  </si>
  <si>
    <t>Quan sát hệ thống</t>
  </si>
  <si>
    <t>F3.4. Liked Posts</t>
  </si>
  <si>
    <t>LP01</t>
  </si>
  <si>
    <t xml:space="preserve"> Thích/Lưu bài (Like)</t>
  </si>
  <si>
    <t>Xem chi tiết bài</t>
  </si>
  <si>
    <t>Nhìn vào công cụ Tương tác</t>
  </si>
  <si>
    <t>Action: Like</t>
  </si>
  <si>
    <t>Trái tim đổi sang màu đỏ. Toast hiện "Đã lưu tin". Thêm id bài vào mảng thích của user.</t>
  </si>
  <si>
    <t>Bấm nút "Lưu tin" / Trái tim</t>
  </si>
  <si>
    <t>LP01_2</t>
  </si>
  <si>
    <t xml:space="preserve"> Bỏ Thích/Lưu bài (Unlike)</t>
  </si>
  <si>
    <t>Bài đã Like</t>
  </si>
  <si>
    <t>Nhìn icon Trái tim đang đỏ</t>
  </si>
  <si>
    <t>Action: Unlike</t>
  </si>
  <si>
    <t>Trái tim tắt màu đỏ. Toast hiện "Bỏ lưu tin".</t>
  </si>
  <si>
    <t>Bấm lại icon Trái tim</t>
  </si>
  <si>
    <t>LP02</t>
  </si>
  <si>
    <t xml:space="preserve"> Xem danh sách đã lưu</t>
  </si>
  <si>
    <t>Ở mọi trang</t>
  </si>
  <si>
    <t>Hover/Click User menu</t>
  </si>
  <si>
    <t>Action: View</t>
  </si>
  <si>
    <t>Hiển thị dạng lưới danh sách các thẻ bài viết mà User đã like.</t>
  </si>
  <si>
    <t>Bấm chọn "Tin đã lưu" (LikedPostsPage)</t>
  </si>
  <si>
    <t>LP02_2</t>
  </si>
  <si>
    <t xml:space="preserve"> Danh sách rỗng</t>
  </si>
  <si>
    <t>User mới</t>
  </si>
  <si>
    <t>Màn hình hiển thị dòng thông báo: "Bạn chưa lưu bài đăng nào".</t>
  </si>
  <si>
    <t>Bấm chọn "Tin đã lưu"</t>
  </si>
  <si>
    <t>LP03</t>
  </si>
  <si>
    <t xml:space="preserve"> Hủy Lưu từ danh sách</t>
  </si>
  <si>
    <t>LikedPostsPage</t>
  </si>
  <si>
    <t>Tìm thẻ ProductCard trong danh sách đang lưu</t>
  </si>
  <si>
    <t>Bài viết đó mờ đi hoặc ngay lập tức biến mất khỏi giao diện danh sách đã lưu.</t>
  </si>
  <si>
    <t>Bấm trái tim góc thẻ bài</t>
  </si>
  <si>
    <t>LP04</t>
  </si>
  <si>
    <t xml:space="preserve"> Bài đã lưu bị Chủ xóa</t>
  </si>
  <si>
    <t>User B xóa bài mà User A đã lưu</t>
  </si>
  <si>
    <t>Hàm cleanDeadIds tự dọn DB. Thẻ bài viết đó tự động bị gỡ khỏi danh sách của User A.</t>
  </si>
  <si>
    <t>User A vào trang Tin đã lưu</t>
  </si>
  <si>
    <t>LP05</t>
  </si>
  <si>
    <t xml:space="preserve"> Bài đã lưu bị Ẩn</t>
  </si>
  <si>
    <t>Bài của User B hết hạn hoặc bị B/Admin Ẩn</t>
  </si>
  <si>
    <t>Action: Hidden</t>
  </si>
  <si>
    <t>Thẻ bài vẫn hiển thị nhưng mờ đi, báo text "Bài viết hiện không khả dụng" và không cho click vô trong.</t>
  </si>
  <si>
    <t>LP06</t>
  </si>
  <si>
    <t xml:space="preserve"> Guest bấm Lưu tin</t>
  </si>
  <si>
    <t>Chưa Login</t>
  </si>
  <si>
    <t>Ở trang chủ</t>
  </si>
  <si>
    <t>Hệ thống chặn thao tác, popup báo cần Đăng nhập hoặc tự động điều hướng sang trang Login.</t>
  </si>
  <si>
    <t>Bấm icon Trái tim của 1 sản phẩm</t>
  </si>
  <si>
    <t>LP07</t>
  </si>
  <si>
    <t xml:space="preserve"> Phân trang Tin đã lưu</t>
  </si>
  <si>
    <t>User đã like 30 bài</t>
  </si>
  <si>
    <t>Action: Paging</t>
  </si>
  <si>
    <t>Chức năng loadmore/phân trang tải tiếp các bài từ 11-20, đảm bảo danh sách không bị lặp lại.</t>
  </si>
  <si>
    <t>Cuộn xuống cuối trang</t>
  </si>
  <si>
    <t>F4.1. Keyword Search</t>
  </si>
  <si>
    <t>KS01</t>
  </si>
  <si>
    <t>Tìm kiếm từ khóa hợp lệ</t>
  </si>
  <si>
    <t>User đang ở trang tìm kiếm</t>
  </si>
  <si>
    <t>Nhập từ khóa vào ô search</t>
  </si>
  <si>
    <t>laptop</t>
  </si>
  <si>
    <t>Hiển thị danh sách kết quả liên quan</t>
  </si>
  <si>
    <t>Thực hiện thành công. URL hiện tại: http://localhost:5173/tim-kiem?q=laptop</t>
  </si>
  <si>
    <t>Click Search</t>
  </si>
  <si>
    <t>KS02</t>
  </si>
  <si>
    <t>Tìm kiếm nhiều kết quả</t>
  </si>
  <si>
    <t>Có nhiều sản phẩm chứa keyword</t>
  </si>
  <si>
    <t>Nhập từ khóa</t>
  </si>
  <si>
    <t>phone</t>
  </si>
  <si>
    <t>Hiển thị nhiều kết quả</t>
  </si>
  <si>
    <t>Thực hiện thành công. URL hiện tại: http://localhost:5173/tim-kiem?q=phone</t>
  </si>
  <si>
    <t>KS03</t>
  </si>
  <si>
    <t>Tìm kiếm 1 kết quả</t>
  </si>
  <si>
    <t>Có 1 sản phẩm phù hợp</t>
  </si>
  <si>
    <t>macbook</t>
  </si>
  <si>
    <t>Hiển thị đúng 1 kết quả</t>
  </si>
  <si>
    <t>Thực hiện thành công. URL hiện tại: http://localhost:5173/tim-kiem?q=macbook</t>
  </si>
  <si>
    <t>KS04</t>
  </si>
  <si>
    <t>Tìm kiếm không phân biệt hoa thường</t>
  </si>
  <si>
    <t>Ở trang Tìm kiếm, có SP "Laptop"</t>
  </si>
  <si>
    <t>LAPTOP</t>
  </si>
  <si>
    <t>Hiển thị kết quả đúng</t>
  </si>
  <si>
    <t>Thực hiện thành công. URL hiện tại: http://localhost:5173/tim-kiem?q=LAPTOP</t>
  </si>
  <si>
    <t>KS05</t>
  </si>
  <si>
    <t>Tìm kiếm có khoảng trắng đầu/cuối</t>
  </si>
  <si>
    <t>Ở trang Tìm kiếm, có SP "laptop"</t>
  </si>
  <si>
    <t>Hệ thống vẫn tìm đúng kết quả</t>
  </si>
  <si>
    <t>KS06</t>
  </si>
  <si>
    <t>Tìm kiếm ký tự đặc biệt</t>
  </si>
  <si>
    <t>Ở trang Tìm kiếm</t>
  </si>
  <si>
    <t>laptop@</t>
  </si>
  <si>
    <t>Hiển thị kết quả phù hợp hoặc thông báo</t>
  </si>
  <si>
    <t>Thực hiện thành công. URL hiện tại: http://localhost:5173/tim-kiem?q=laptop%40</t>
  </si>
  <si>
    <t>KS07</t>
  </si>
  <si>
    <t>Tìm kiếm keyword dài</t>
  </si>
  <si>
    <t>Ở trang Tìm kiếm, có SP tên dài</t>
  </si>
  <si>
    <t>gaming laptop asus</t>
  </si>
  <si>
    <t>Thực hiện thành công. URL hiện tại: http://localhost:5173/tim-kiem?q=gaming+laptop+asus</t>
  </si>
  <si>
    <t>KS08</t>
  </si>
  <si>
    <t>Tìm kiếm nhiều lần liên tiếp</t>
  </si>
  <si>
    <t>Hiển thị kết quả mới</t>
  </si>
  <si>
    <t>Thực hiện thành công. URL hiện tại: http://localhost:5173/tim-kiem?q=tablet</t>
  </si>
  <si>
    <t>Nhập từ khóa khác</t>
  </si>
  <si>
    <t>tablet</t>
  </si>
  <si>
    <t>KS09</t>
  </si>
  <si>
    <t>Kiểm tra highlight keyword</t>
  </si>
  <si>
    <t>Ở trang Tìm kiếm, có SP "phone"</t>
  </si>
  <si>
    <t>Keyword được highlight trong kết quả</t>
  </si>
  <si>
    <t>KS10</t>
  </si>
  <si>
    <t>Kiểm tra thời gian phản hồi search</t>
  </si>
  <si>
    <t>Kết quả hiển thị nhanh (&lt;3s)</t>
  </si>
  <si>
    <t>F4.2. Empty Search</t>
  </si>
  <si>
    <t>ES01</t>
  </si>
  <si>
    <t>Tìm kiếm rỗng</t>
  </si>
  <si>
    <t>Để trống ô search</t>
  </si>
  <si>
    <t>Hiển thị thông báo nhập keyword</t>
  </si>
  <si>
    <t>Thực hiện thành công. URL hiện tại: http://localhost:5173/</t>
  </si>
  <si>
    <t>ES02</t>
  </si>
  <si>
    <t>Tìm kiếm không có kết quả</t>
  </si>
  <si>
    <t>Nhập keyword</t>
  </si>
  <si>
    <t>xyz123</t>
  </si>
  <si>
    <t>Hiển thị "No results found"</t>
  </si>
  <si>
    <t>Thực hiện thành công. URL hiện tại: http://localhost:5173/tim-kiem?q=xyz123</t>
  </si>
  <si>
    <t>ES03</t>
  </si>
  <si>
    <t>Tìm kiếm chỉ có khoảng trắng</t>
  </si>
  <si>
    <t>Nhập khoảng trắng</t>
  </si>
  <si>
    <t>Hiển thị thông báo lỗi</t>
  </si>
  <si>
    <t>ES04</t>
  </si>
  <si>
    <t>@@@@</t>
  </si>
  <si>
    <t>Không tìm thấy kết quả</t>
  </si>
  <si>
    <t>Thực hiện thành công. URL hiện tại: http://localhost:5173/tim-kiem?q=%40%40%40%40</t>
  </si>
  <si>
    <t>ES05</t>
  </si>
  <si>
    <t>Tìm kiếm số ngẫu nhiên</t>
  </si>
  <si>
    <t>Không có kết quả</t>
  </si>
  <si>
    <t>Thực hiện thành công. URL hiện tại: http://localhost:5173/tim-kiem?q=999999</t>
  </si>
  <si>
    <t>ES06</t>
  </si>
  <si>
    <t>Tìm kiếm ký tự dài bất thường</t>
  </si>
  <si>
    <t>Nhập keyword dài</t>
  </si>
  <si>
    <t>Hệ thống xử lý không lỗi</t>
  </si>
  <si>
    <t>Thực hiện thành công. URL hiện tại: http://localhost:5173/tim-kiem?q=abcdef</t>
  </si>
  <si>
    <t>ES07</t>
  </si>
  <si>
    <t>Hiển thị thông báo khi không có kết quả</t>
  </si>
  <si>
    <t>Hiển thị message No results</t>
  </si>
  <si>
    <t>ES08</t>
  </si>
  <si>
    <t>Kiểm tra UI khi không có kết quả</t>
  </si>
  <si>
    <t>Trang hiển thị UI No result đúng</t>
  </si>
  <si>
    <t>F4.3. Filter by Attributes</t>
  </si>
  <si>
    <t>FA01</t>
  </si>
  <si>
    <t xml:space="preserve"> Lọc theo danh mục</t>
  </si>
  <si>
    <t>Ở trang Tìm kiếm / FilterBar</t>
  </si>
  <si>
    <t>Mở dropdown Danh mục trên thanh lọc</t>
  </si>
  <si>
    <t>Thực hiện thành công. URL hiện tại: http://localhost:5173/tim-kiem?category=do-dien-tu</t>
  </si>
  <si>
    <t>Chọn danh mục "Đồ điện tử"</t>
  </si>
  <si>
    <t>Đồ điện tử</t>
  </si>
  <si>
    <t>Nhấn nút "Áp dụng" (hoặc chờ hệ thống tự động lọc)</t>
  </si>
  <si>
    <t>Lưới sản phẩm tải lại, chỉ hiển thị danh sách các bài đăng thuộc đúng danh mục "Đồ điện tử".</t>
  </si>
  <si>
    <t>FA02</t>
  </si>
  <si>
    <t xml:space="preserve"> Lọc theo tỉnh thành</t>
  </si>
  <si>
    <t>Mở dropdown Tỉnh/Thành phố trên thanh lọc</t>
  </si>
  <si>
    <t>Hệ thống lọc và chỉ hiển thị các bài đăng có địa chỉ được người bán thiết lập tại Hà Nội.</t>
  </si>
  <si>
    <t>Thực hiện thành công. URL hiện tại: http://localhost:5173/tim-kiem</t>
  </si>
  <si>
    <t>Chọn tỉnh "Hà Nội"</t>
  </si>
  <si>
    <t>Hà Nội</t>
  </si>
  <si>
    <t>Nhấn nút "Áp dụng"</t>
  </si>
  <si>
    <t>FA03</t>
  </si>
  <si>
    <t xml:space="preserve"> Load danh sách quận/huyện tương ứng</t>
  </si>
  <si>
    <t>Mở dropdown Tỉnh/Thành phố và chọn "Hồ Chí Minh"</t>
  </si>
  <si>
    <t>HCM</t>
  </si>
  <si>
    <t>Dropdown Quận/Huyện được mở khóa, gọi API và hiển thị chính xác danh sách các quận thuộc TP.HCM.</t>
  </si>
  <si>
    <t>Click mở dropdown Quận/Huyện ngay bên cạnh</t>
  </si>
  <si>
    <t>FA04</t>
  </si>
  <si>
    <t xml:space="preserve"> Lọc kết hợp Tỉnh + Quận</t>
  </si>
  <si>
    <t>Chọn Tỉnh/Thành phố là "Hà Nội"</t>
  </si>
  <si>
    <t>Location</t>
  </si>
  <si>
    <t>Lưới sản phẩm chỉ hiển thị các bài đăng ở đúng khu vực Cầu Giấy, Hà Nội.</t>
  </si>
  <si>
    <t>Đợi danh sách quận tải xong, chọn Quận "Cầu Giấy"</t>
  </si>
  <si>
    <t>FA05</t>
  </si>
  <si>
    <t xml:space="preserve"> Lọc khoảng giá hợp lệ</t>
  </si>
  <si>
    <t>Nhập giá trị vào ô Giá Tối thiểu: 100,000</t>
  </si>
  <si>
    <t>100k - 500k</t>
  </si>
  <si>
    <t>Trả về danh sách sản phẩm có mức giá nằm chính xác trong khoảng từ 100k đến 500k.</t>
  </si>
  <si>
    <t>Thực hiện thành công. URL hiện tại: http://localhost:5173/tim-kiem?minPrice=100000&amp;maxPrice=500000</t>
  </si>
  <si>
    <t>Nhập giá trị vào ô Giá Tối đa: 500,000</t>
  </si>
  <si>
    <t>FA06</t>
  </si>
  <si>
    <t xml:space="preserve"> Giá từ bằng Giá đến</t>
  </si>
  <si>
    <t>Nhập giá trị 200,000 vào ô Giá Tối thiểu</t>
  </si>
  <si>
    <t>200k</t>
  </si>
  <si>
    <t>Hệ thống lọc và chỉ hiện các sản phẩm có giá niêm yết chính xác là 200,000 VNĐ.</t>
  </si>
  <si>
    <t>Thực hiện thành công. URL hiện tại: http://localhost:5173/tim-kiem?minPrice=200000&amp;maxPrice=200000</t>
  </si>
  <si>
    <t>Nhập giá trị 200,000 vào ô Giá Tối đa</t>
  </si>
  <si>
    <t>FA07</t>
  </si>
  <si>
    <t xml:space="preserve"> Lọc giá 0đ</t>
  </si>
  <si>
    <t>Nhập số 0 vào cả hai ô Giá Tối thiểu và Giá Tối đa</t>
  </si>
  <si>
    <t>0 - 0</t>
  </si>
  <si>
    <t>Hệ thống chỉ hiển thị các sản phẩm có giá 0đ (Thường là đồ cho, tặng miễn phí hoặc yêu cầu liên hệ).</t>
  </si>
  <si>
    <t>Thực hiện thành công. URL hiện tại: http://localhost:5173/tim-kiem?minPrice=0&amp;maxPrice=0</t>
  </si>
  <si>
    <t>FA08</t>
  </si>
  <si>
    <t xml:space="preserve"> Giá tối thiểu lớn hơn Giá tối đa</t>
  </si>
  <si>
    <t>Nhập Giá Tối thiểu: 500,000</t>
  </si>
  <si>
    <t>Invalid range</t>
  </si>
  <si>
    <t>Form chặn thao tác submit. Hiển thị thông báo lỗi: "Giá tối thiểu phải nhỏ hơn hoặc bằng giá tối đa".</t>
  </si>
  <si>
    <t>Thực hiện thành công. URL hiện tại: http://localhost:5173/tim-kiem?minPrice=500000&amp;maxPrice=100000</t>
  </si>
  <si>
    <t>Nhập Giá Tối đa: 100,000</t>
  </si>
  <si>
    <t>FA09</t>
  </si>
  <si>
    <t xml:space="preserve"> Nhập giá trị âm</t>
  </si>
  <si>
    <t>Focus vào ô nhập Giá</t>
  </si>
  <si>
    <t>-50k</t>
  </si>
  <si>
    <t>Input field chặn không cho phép nhập dấu trừ (-) hoặc hệ thống tự động xóa ký tự âm ngay khi nhập.</t>
  </si>
  <si>
    <t>Thực hiện thành công. URL hiện tại: http://localhost:5173/tim-kiem?minPrice=-100000&amp;maxPrice=0</t>
  </si>
  <si>
    <t>Cố gắng gõ ký tự dấu trừ (-) và số 50000</t>
  </si>
  <si>
    <t>FA10</t>
  </si>
  <si>
    <t xml:space="preserve"> Lọc theo tình trạng Mới</t>
  </si>
  <si>
    <t>Tìm đến bộ lọc Tình trạng sản phẩm</t>
  </si>
  <si>
    <t>New</t>
  </si>
  <si>
    <t>Chỉ hiện thị lưới các sản phẩm được người bán đánh dấu tình trạng là "Mới 100%".</t>
  </si>
  <si>
    <t>Tích chọn hoặc Dropdown chọn "Mới"</t>
  </si>
  <si>
    <t>FA11</t>
  </si>
  <si>
    <t xml:space="preserve"> Lọc theo tình trạng Cũ</t>
  </si>
  <si>
    <t>Used</t>
  </si>
  <si>
    <t>Chỉ hiện thị lưới các sản phẩm có tình trạng "Cũ / Đã sử dụng".</t>
  </si>
  <si>
    <t>Tích chọn hoặc Dropdown chọn "Đã sử dụng"</t>
  </si>
  <si>
    <t>FA12</t>
  </si>
  <si>
    <t xml:space="preserve"> Lọc kết hợp Danh mục và Tỉnh</t>
  </si>
  <si>
    <t>Chọn Danh mục: "Điện thoại"</t>
  </si>
  <si>
    <t>Multi filter</t>
  </si>
  <si>
    <t>Lưới sản phẩm chỉ hiển thị các mặt hàng Điện thoại được đăng bán tại khu vực Đà Nẵng.</t>
  </si>
  <si>
    <t>Thực hiện thành công. URL hiện tại: http://localhost:5173/tim-kiem?category=do-dien-tu&amp;subcategory=dien-thoai</t>
  </si>
  <si>
    <t>Chọn Tỉnh/Thành phố: "Đà Nẵng"</t>
  </si>
  <si>
    <t>FA13</t>
  </si>
  <si>
    <t xml:space="preserve"> Lọc kết hợp Danh mục và Giá</t>
  </si>
  <si>
    <t>Chọn Danh mục: "Xe máy"</t>
  </si>
  <si>
    <t>Trả về danh sách các bài đăng bán Xe máy có giá niêm yết dưới 10 triệu đồng.</t>
  </si>
  <si>
    <t>Thực hiện thành công. URL hiện tại: http://localhost:5173/tim-kiem?category=xe-co&amp;subcategory=xe-may&amp;minPrice=0&amp;maxPrice=10000000</t>
  </si>
  <si>
    <t>Nhập khoảng giá Tối đa: 10,000,000</t>
  </si>
  <si>
    <t>FA14</t>
  </si>
  <si>
    <t xml:space="preserve"> Lọc 3 điều kiện đồng thời</t>
  </si>
  <si>
    <t>Chọn Tỉnh: "Hồ Chí Minh"</t>
  </si>
  <si>
    <t>Chỉ hiển thị các sản phẩm thỏa mãn đồng thời cả 3 điều kiện trên.</t>
  </si>
  <si>
    <t>Thực hiện thành công. URL hiện tại: http://localhost:5173/tim-kiem?minPrice=0&amp;maxPrice=5000000</t>
  </si>
  <si>
    <t>Nhập giá Tối đa: 5,000,000</t>
  </si>
  <si>
    <t>FA15</t>
  </si>
  <si>
    <t xml:space="preserve"> Lọc bằng tất cả các điều kiện</t>
  </si>
  <si>
    <t>Chọn Danh mục, Tỉnh, Quận, Khoảng giá, và Danh mục</t>
  </si>
  <si>
    <t>All filters</t>
  </si>
  <si>
    <t>URL cập nhật toàn bộ tham số. Lưới hiển thị chính xác kết quả khớp với mọi điều kiện đã chọn.</t>
  </si>
  <si>
    <t>Thực hiện thành công. URL hiện tại: http://localhost:5173/tim-kiem?minPrice=20000&amp;maxPrice=100000000</t>
  </si>
  <si>
    <t>FA016</t>
  </si>
  <si>
    <t xml:space="preserve"> Hiển thị khi Không có kết quả</t>
  </si>
  <si>
    <t>Thiết lập một bộ lọc quá hẹp (VD: Xe máy, Hà Nội, giá 0đ, Mới)</t>
  </si>
  <si>
    <t>No data</t>
  </si>
  <si>
    <t>Lưới sản phẩm rỗng. Trả về màn hình Empty State với thông báo "Không tìm thấy sản phẩm phù hợp".</t>
  </si>
  <si>
    <t>FA17</t>
  </si>
  <si>
    <t xml:space="preserve"> Xóa bộ lọc (Clear filter) khi đang có kết quả</t>
  </si>
  <si>
    <t>Đang hiển thị kết quả lọc</t>
  </si>
  <si>
    <t>Cuộn lên thanh FilterBar</t>
  </si>
  <si>
    <t>Reset</t>
  </si>
  <si>
    <t>Thực hiện thành công. URL hiện tại: http://localhost:5173/tim-kiem?minPrice=20000&amp;maxPrice=1000000</t>
  </si>
  <si>
    <t>Nhấn vào nút "Xóa bộ lọc" (Clear)</t>
  </si>
  <si>
    <t>FA18</t>
  </si>
  <si>
    <t xml:space="preserve"> Xóa bộ lọc khi đang ở màn hình Empty State</t>
  </si>
  <si>
    <t>Đang ở màn hình Không có kết quả</t>
  </si>
  <si>
    <t>Click vào nút "Xóa bộ lọc" trên màn hình hoặc trên FilterBar</t>
  </si>
  <si>
    <t>Thực hiện thành công. URL hiện tại: http://localhost:5173/tim-kiem?q=xe</t>
  </si>
  <si>
    <t>Quan sát lưới sản phẩm</t>
  </si>
  <si>
    <t>FA19</t>
  </si>
  <si>
    <t xml:space="preserve"> Cố tình nhập chữ vào ô Giá</t>
  </si>
  <si>
    <t>Focus vào ô Giá Tối thiểu hoặc Tối đa</t>
  </si>
  <si>
    <t>abc</t>
  </si>
  <si>
    <t>Nhập các ký tự chữ cái (VD: "abc")</t>
  </si>
  <si>
    <t>F5.1.Chat</t>
  </si>
  <si>
    <t>C01</t>
  </si>
  <si>
    <t xml:space="preserve"> Gửi tin nhắn rỗng</t>
  </si>
  <si>
    <t>Đã Login, ở màn hình Chat</t>
  </si>
  <si>
    <t>Click vào ô nhập tin nhắn, để trống không nhập gì</t>
  </si>
  <si>
    <t>Hệ thống không gửi tin, không có lỗi hiển thị, ô nhập liệu không thay đổi.</t>
  </si>
  <si>
    <t>Hào</t>
  </si>
  <si>
    <t>Nhấn nút "Gửi" (hoặc bấm Enter)</t>
  </si>
  <si>
    <t>C02</t>
  </si>
  <si>
    <t xml:space="preserve"> Gửi tin nhắn khoảng trắng</t>
  </si>
  <si>
    <t>Ở màn hình Chat</t>
  </si>
  <si>
    <t>Nhập toàn khoảng trắng (space) vào ô nhập</t>
  </si>
  <si>
    <t>Hệ thống không gửi tin, không có lỗi hiển thị, khoảng trắng vẫn nằm nguyên trong ô nhập (Không tự động trim).</t>
  </si>
  <si>
    <t>Nhấn nút "Gửi"</t>
  </si>
  <si>
    <t>C03</t>
  </si>
  <si>
    <t xml:space="preserve"> Gửi tin nhắn 1 ký tự</t>
  </si>
  <si>
    <t>Nhập 1 ký tự bất kỳ vào ô chat</t>
  </si>
  <si>
    <t>A</t>
  </si>
  <si>
    <t>Gửi thành công, tin nhắn hiển thị trên khung chat.</t>
  </si>
  <si>
    <t>Gửi thành công, tin nhắn/bình luận hiển thị bình thường (Web không chặn).</t>
  </si>
  <si>
    <t>C04</t>
  </si>
  <si>
    <t xml:space="preserve"> Gửi tin nhắn hợp lệ</t>
  </si>
  <si>
    <t>Nhập nội dung văn bản thông thường</t>
  </si>
  <si>
    <t>Sản phẩm còn ko bạn?</t>
  </si>
  <si>
    <t>C05</t>
  </si>
  <si>
    <t xml:space="preserve"> Độ dài tối đa</t>
  </si>
  <si>
    <t>Copy và Paste chính xác 1000 ký tự vào ô chat</t>
  </si>
  <si>
    <t>Chuỗi 1000 ký tự</t>
  </si>
  <si>
    <t>Gửi thành công, tin nhắn hiển thị bình thường.</t>
  </si>
  <si>
    <t>C06</t>
  </si>
  <si>
    <t xml:space="preserve"> Vượt độ dài tối đa</t>
  </si>
  <si>
    <t>Copy và Paste 1001 ký tự vào ô chat</t>
  </si>
  <si>
    <t>Chuỗi 1001 ký tự</t>
  </si>
  <si>
    <t>Thất bại phải giới hạn chữ ( thông báo cảnh báo)</t>
  </si>
  <si>
    <t>[TEST FAILED] [BUG NGHIÊM TRỌNG C06] Web cho phép gửi dữ liệu vượt quá giới hạn mà không hề chặn hay báo lỗi!</t>
  </si>
  <si>
    <t>C07</t>
  </si>
  <si>
    <t xml:space="preserve"> Tin nhắn chứa emoji</t>
  </si>
  <si>
    <t>Mở bàn phím emoji, chọn và nhập vài biểu tượng</t>
  </si>
  <si>
    <t>😱💸👍</t>
  </si>
  <si>
    <t>Gửi thành công, hiển thị chính xác biểu tượng trên màn hình.</t>
  </si>
  <si>
    <t>C08</t>
  </si>
  <si>
    <t xml:space="preserve"> Tin nhắn chứa URL</t>
  </si>
  <si>
    <t>Nhập một đường link URL hợp lệ</t>
  </si>
  <si>
    <t>https://google.com</t>
  </si>
  <si>
    <t>Gửi thành công, nhưng chỉ hiển thị dạng text thuần túy (Không click được).</t>
  </si>
  <si>
    <t>C09</t>
  </si>
  <si>
    <t>Security: XSS Injection</t>
  </si>
  <si>
    <t>Nhập đoạn mã script độc hại</t>
  </si>
  <si>
    <t>&lt;script&gt;alert('XSS')&lt;/script&gt;</t>
  </si>
  <si>
    <t>Gửi thành công, hiển thị dạng text thuần túy (React tự động escape code).</t>
  </si>
  <si>
    <t>C10</t>
  </si>
  <si>
    <t xml:space="preserve"> Bắt đầu chat từ trang sản phẩm</t>
  </si>
  <si>
    <t>Xem chi tiết sản phẩm</t>
  </si>
  <si>
    <t>Cuộn xuống phần thông tin người bán</t>
  </si>
  <si>
    <t>Điều hướng mở khung chat thành công.</t>
  </si>
  <si>
    <t>Điều hướng thành công sang khung chat (Web KHÔNG chặn).</t>
  </si>
  <si>
    <t>Click nút "Chat với người bán"</t>
  </si>
  <si>
    <t>C11</t>
  </si>
  <si>
    <t xml:space="preserve"> Chat có lịch sử</t>
  </si>
  <si>
    <t>Đã từng chat với User B</t>
  </si>
  <si>
    <t>Mở trang Chat, click chọn User B ở danh sách (Sidebar)</t>
  </si>
  <si>
    <t>Tải đầy đủ các tin nhắn cũ trong quá khứ.</t>
  </si>
  <si>
    <t>Quan sát khung chat (ChatWindow)</t>
  </si>
  <si>
    <t>C12</t>
  </si>
  <si>
    <t xml:space="preserve"> Chat với chính mình</t>
  </si>
  <si>
    <t>Đang Login User A</t>
  </si>
  <si>
    <t>Truy cập vào trang chi tiết bài đăng của chính User A</t>
  </si>
  <si>
    <t>Điều hướng thành công sang khung chat (Web KHÔNG chặn việc bấm chat với chính bài của mình).</t>
  </si>
  <si>
    <t>Hệ thống chặn hợp lý. Alert: 'Bạn không thể tự chat với chính mình.'</t>
  </si>
  <si>
    <t>Kiểm tra khu vực thông tin người bán</t>
  </si>
  <si>
    <t>C13</t>
  </si>
  <si>
    <t xml:space="preserve"> Guest chat</t>
  </si>
  <si>
    <t>Chưa login (Khách)</t>
  </si>
  <si>
    <t>Truy cập trang chi tiết sản phẩm</t>
  </si>
  <si>
    <t>Không có phản hồi gì, không chuyển trang, không hiện popup login (Silent fail).</t>
  </si>
  <si>
    <t>Hệ thống chặn Khách thành công (Có thông báo hoặc điều hướng Login).</t>
  </si>
  <si>
    <t>Bấm vào nút "Chat với người bán"</t>
  </si>
  <si>
    <t>C14</t>
  </si>
  <si>
    <t xml:space="preserve"> Realtime chat</t>
  </si>
  <si>
    <t>2 user (A và B) đang cùng mở khung chat</t>
  </si>
  <si>
    <t>Màn hình User A: Nhập "Alo" và bấm gửi</t>
  </si>
  <si>
    <t>Realtime</t>
  </si>
  <si>
    <t>Người nhận thấy tin nhắn hiện ngay lập tức không cần F5.</t>
  </si>
  <si>
    <t>Quan sát màn hình User B</t>
  </si>
  <si>
    <t>C15</t>
  </si>
  <si>
    <t xml:space="preserve"> Chat offline</t>
  </si>
  <si>
    <t>User B đang không online</t>
  </si>
  <si>
    <t>User A gửi tin nhắn "Mai ship nhé" cho B</t>
  </si>
  <si>
    <t>Offline send</t>
  </si>
  <si>
    <t>Gửi thành công, hệ thống lưu trữ cho người nhận.</t>
  </si>
  <si>
    <t>User B đăng nhập vào hệ thống</t>
  </si>
  <si>
    <t>C16</t>
  </si>
  <si>
    <t xml:space="preserve"> Read receipt</t>
  </si>
  <si>
    <t>Có tin chưa đọc từ A</t>
  </si>
  <si>
    <t>User B mở khung chat với User A</t>
  </si>
  <si>
    <t>View</t>
  </si>
  <si>
    <t>Chỉ hiển thị dòng text tĩnh "Đã gửi" (Web KHÔNG có logic kiểm tra trạng thái "Đã xem").</t>
  </si>
  <si>
    <t>Quan sát màn hình User A</t>
  </si>
  <si>
    <t>C17</t>
  </si>
  <si>
    <t xml:space="preserve"> Load lịch sử chat</t>
  </si>
  <si>
    <t>Có hội thoại &gt; 50 tin nhắn</t>
  </si>
  <si>
    <t>Mở cuộc hội thoại đó</t>
  </si>
  <si>
    <t>Tự động load thêm tin nhắn cũ.</t>
  </si>
  <si>
    <t>Scroll (Cuộn) thanh cuộn lên trên cùng khung chat</t>
  </si>
  <si>
    <t>C18</t>
  </si>
  <si>
    <t xml:space="preserve"> Thông báo chat header</t>
  </si>
  <si>
    <t>Đang lướt trang chủ</t>
  </si>
  <si>
    <t>Dùng tài khoản khác gửi 1 tin nhắn đến</t>
  </si>
  <si>
    <t>Receive</t>
  </si>
  <si>
    <t>Icon Chat hiện thông báo có tin mới.</t>
  </si>
  <si>
    <t>Kiểm tra Icon Chat trên Header</t>
  </si>
  <si>
    <t>C19</t>
  </si>
  <si>
    <t xml:space="preserve"> Chat user bị ban</t>
  </si>
  <si>
    <t>User B đã bị Admin khóa (Ban)</t>
  </si>
  <si>
    <t>User A mở khung chat với User B</t>
  </si>
  <si>
    <t>Ô nhập bình thường, không bị khóa (Web chưa xử lý khóa khung chat user bị ban).</t>
  </si>
  <si>
    <t>Kiểm tra ô nhập text</t>
  </si>
  <si>
    <t>C20</t>
  </si>
  <si>
    <t xml:space="preserve"> Mất mạng khi gửi</t>
  </si>
  <si>
    <t>Đang ở khung chat</t>
  </si>
  <si>
    <t>Nhập nội dung tin nhắn</t>
  </si>
  <si>
    <t>Lỗi ngầm lưu trong Console (F12). Giao diện tĩnh lặng, KHÔNG có thông báo lỗi hay icon (!).</t>
  </si>
  <si>
    <t>Tắt Wifi/Rút dây mạng máy tính</t>
  </si>
  <si>
    <t>Offline</t>
  </si>
  <si>
    <t>Bấm Gửi tin nhắn và quan sát</t>
  </si>
  <si>
    <t>C21</t>
  </si>
  <si>
    <t xml:space="preserve"> Auto retry</t>
  </si>
  <si>
    <t>Đang ở trạng thái Step 3 của TC_020</t>
  </si>
  <si>
    <t>Bật lại Wifi / Kết nối lại mạng</t>
  </si>
  <si>
    <t>Online</t>
  </si>
  <si>
    <t>Tin nhắn lỗi tự động được hệ thống gửi đi thành công.</t>
  </si>
  <si>
    <t>Chờ vài giây và quan sát khung chat</t>
  </si>
  <si>
    <t>C22</t>
  </si>
  <si>
    <t xml:space="preserve"> Hiển thị thời gian</t>
  </si>
  <si>
    <t>Truy cập vào 1 cuộc hội thoại bất kỳ</t>
  </si>
  <si>
    <t>Hiển thị mốc thời gian định dạng "hh:mm" theo giờ VN.</t>
  </si>
  <si>
    <t>Nhìn vào các bóng thoại tin nhắn</t>
  </si>
  <si>
    <t>C23</t>
  </si>
  <si>
    <t xml:space="preserve"> Sort danh sách chat</t>
  </si>
  <si>
    <t>Đang mở ChatList (Sidebar)</t>
  </si>
  <si>
    <t>Dùng User C gửi một tin nhắn mới đến</t>
  </si>
  <si>
    <t>Hội thoại có tin nhắn mới nhất được đẩy lên đầu.</t>
  </si>
  <si>
    <t>Quan sát danh sách hội thoại bên trái</t>
  </si>
  <si>
    <t>C24</t>
  </si>
  <si>
    <t xml:space="preserve"> Gửi ảnh</t>
  </si>
  <si>
    <t>Ở khung chat</t>
  </si>
  <si>
    <t>Click icon Upload ảnh (📸) và chọn ảnh .jpg</t>
  </si>
  <si>
    <t>.jpg</t>
  </si>
  <si>
    <t>Tải lên và hiển thị ảnh thành công.</t>
  </si>
  <si>
    <t>Gửi ảnh hợp lệ thành công.</t>
  </si>
  <si>
    <t>Bấm Gửi</t>
  </si>
  <si>
    <t>C25</t>
  </si>
  <si>
    <t xml:space="preserve"> Ảnh sai định dạng</t>
  </si>
  <si>
    <t>Click icon Upload ảnh</t>
  </si>
  <si>
    <t>Hiển thị Browser Alert chính xác: "Vui lòng chỉ gửi tập tin ảnh."</t>
  </si>
  <si>
    <t>Đã chặn file sai. Alert hiện: 'Vui lòng chỉ gửi tập tin ảnh.'</t>
  </si>
  <si>
    <t>Chọn cố tình 1 file .exe hoặc .pdf và Open</t>
  </si>
  <si>
    <t>.exe</t>
  </si>
  <si>
    <t>C26</t>
  </si>
  <si>
    <t xml:space="preserve"> Xóa cuộc trò chuyện</t>
  </si>
  <si>
    <t>Ở danh sách Chat</t>
  </si>
  <si>
    <t>Hover hoặc click 3 chấm vào một cuộc hội thoại</t>
  </si>
  <si>
    <t>Nút bấm vô tác dụng, không hiện ra popup/dropdown nào (Chưa code chức năng).</t>
  </si>
  <si>
    <t>Chức năng chưa code / Nút vô tác dụng trên UI đúng như thiết kế.</t>
  </si>
  <si>
    <t>Chọn "Xóa cuộc trò chuyện" và xác nhận</t>
  </si>
  <si>
    <t>Delete</t>
  </si>
  <si>
    <t>C27</t>
  </si>
  <si>
    <t xml:space="preserve"> Block user</t>
  </si>
  <si>
    <t>Đang mở khung Chat</t>
  </si>
  <si>
    <t>Click icon menu (3 chấm góc phải trên)</t>
  </si>
  <si>
    <t>Chọn "Chặn người dùng" (Block)</t>
  </si>
  <si>
    <t>Block</t>
  </si>
  <si>
    <t>C28</t>
  </si>
  <si>
    <t xml:space="preserve"> Unblock user</t>
  </si>
  <si>
    <t>Đã chặn người dùng</t>
  </si>
  <si>
    <t>Vào Cài đặt -&gt; Danh sách chặn (hoặc mở khung chat cũ)</t>
  </si>
  <si>
    <t>Không có trang danh sách chặn (Chưa phát triển UI).</t>
  </si>
  <si>
    <t>Chọn "Bỏ chặn" (Unblock)</t>
  </si>
  <si>
    <t>Unblock</t>
  </si>
  <si>
    <t>F5.2.Commenting</t>
  </si>
  <si>
    <t>CM01</t>
  </si>
  <si>
    <t xml:space="preserve"> Comment rỗng</t>
  </si>
  <si>
    <t>Xem trang chi tiết sản phẩm</t>
  </si>
  <si>
    <t>Cuộn xuống phần bình luận</t>
  </si>
  <si>
    <t>Để trống ô nhập liệu, click nút "Gửi bình luận"</t>
  </si>
  <si>
    <t>CM02</t>
  </si>
  <si>
    <t xml:space="preserve"> Comment space</t>
  </si>
  <si>
    <t>Nhập toàn dấu cách (space) vào ô bình luận</t>
  </si>
  <si>
    <t>Hệ thống không gửi tin, khoảng trắng vẫn nằm trong ô nhập (Không tự động trim).</t>
  </si>
  <si>
    <t>Click nút "Gửi bình luận"</t>
  </si>
  <si>
    <t>CM03</t>
  </si>
  <si>
    <t xml:space="preserve"> Comment hợp lệ</t>
  </si>
  <si>
    <t>Nhập nội dung: "Sản phẩm này fix giá không?"</t>
  </si>
  <si>
    <t>Valid Text</t>
  </si>
  <si>
    <t>Bình luận hiển thị thành công dưới bài viết.</t>
  </si>
  <si>
    <t>CM04</t>
  </si>
  <si>
    <t xml:space="preserve"> Comment quá dài</t>
  </si>
  <si>
    <t>Paste đoạn văn bản dài hơn 500 ký tự</t>
  </si>
  <si>
    <t>501 char</t>
  </si>
  <si>
    <t>[TEST FAILED] [BUG NGHIÊM TRỌNG CM04] Web cho phép gửi dữ liệu vượt quá giới hạn mà không hề chặn hay báo lỗi!</t>
  </si>
  <si>
    <t>CM05</t>
  </si>
  <si>
    <t>Security: XSS comment</t>
  </si>
  <si>
    <t>Nhập nội dung payload XSS</t>
  </si>
  <si>
    <t>&lt;iframe src="javascript:alert(1)"&gt;</t>
  </si>
  <si>
    <t>Gửi thành công, bình luận hiển thị dạng text thuần, không chạy mã độc.</t>
  </si>
  <si>
    <t>CM06</t>
  </si>
  <si>
    <t xml:space="preserve"> Guest comment</t>
  </si>
  <si>
    <t>Khung bình luận bị mờ/khóa đối với Khách. Cực kỳ chuẩn thiết kế!</t>
  </si>
  <si>
    <t>Bấm vào ô "Viết bình luận..."</t>
  </si>
  <si>
    <t>CM07</t>
  </si>
  <si>
    <t xml:space="preserve"> Xóa comment của mình</t>
  </si>
  <si>
    <t>Có comment của mình trên bài</t>
  </si>
  <si>
    <t>Hover chuột hoặc click dấu 3 chấm cạnh comment của mình</t>
  </si>
  <si>
    <t>Bình luận bị xóa khỏi hệ thống.</t>
  </si>
  <si>
    <t>Chọn "Xóa bình luận" và xác nhận</t>
  </si>
  <si>
    <t>CM08</t>
  </si>
  <si>
    <t xml:space="preserve"> Xóa comment người khác</t>
  </si>
  <si>
    <t>Đang xem bài viết (không phải của mình)</t>
  </si>
  <si>
    <t>Tìm đến phần bình luận</t>
  </si>
  <si>
    <t>Không hiển thị nút/icon xóa đối với bình luận của người khác.</t>
  </si>
  <si>
    <t>Hover chuột/tìm dấu 3 chấm cạnh comment của NGƯỜI KHÁC</t>
  </si>
  <si>
    <t>CM09</t>
  </si>
  <si>
    <t xml:space="preserve"> Chủ bài xóa comment</t>
  </si>
  <si>
    <t>Đang xem BÀI VIẾT CỦA MÌNH</t>
  </si>
  <si>
    <t>Hover chuột vào một comment của người lạ trên bài của mình</t>
  </si>
  <si>
    <t>Chủ bài đăng xóa được bình luận của người khác thành công.</t>
  </si>
  <si>
    <t>Bấm "Xóa"</t>
  </si>
  <si>
    <t>CM10</t>
  </si>
  <si>
    <t>Security: Bypass API</t>
  </si>
  <si>
    <t>Dùng Postman / Console</t>
  </si>
  <si>
    <t>Setup API Delete Comment với ID comment của người khác</t>
  </si>
  <si>
    <t>API Call</t>
  </si>
  <si>
    <t>API trả về lỗi Access Denied (Không có quyền).</t>
  </si>
  <si>
    <t>Bấm Send để gọi API</t>
  </si>
  <si>
    <t>CM11</t>
  </si>
  <si>
    <t xml:space="preserve"> Comment realtime</t>
  </si>
  <si>
    <t>User A và B cùng xem 1 bài</t>
  </si>
  <si>
    <t>User A viết comment và gửi thành công</t>
  </si>
  <si>
    <t>Comment</t>
  </si>
  <si>
    <t>Người xem khác thấy bình luận hiện lên realtime.</t>
  </si>
  <si>
    <t>User B load lại trang (F5)</t>
  </si>
  <si>
    <t>CM12</t>
  </si>
  <si>
    <t xml:space="preserve"> Load comment</t>
  </si>
  <si>
    <t>Vào trang bài có &gt; 20 comment</t>
  </si>
  <si>
    <t>Tải trang hoàn tất</t>
  </si>
  <si>
    <t>Bình luận cũ tải hiển thị đầy đủ.</t>
  </si>
  <si>
    <t>CM13</t>
  </si>
  <si>
    <t xml:space="preserve"> Xem thêm comment</t>
  </si>
  <si>
    <t>Ở cuối danh sách comment</t>
  </si>
  <si>
    <t>Cuộn xuống dưới cùng danh sách comment</t>
  </si>
  <si>
    <t>Tải thêm phân trang comment tiếp theo.</t>
  </si>
  <si>
    <t>Click nút "Xem thêm bình luận"</t>
  </si>
  <si>
    <t>CM14</t>
  </si>
  <si>
    <t xml:space="preserve"> Comment bài bị xóa</t>
  </si>
  <si>
    <t>Mở sẵn tab bài viết</t>
  </si>
  <si>
    <t>Ở 1 tab khác, tiến hành xóa bài viết đó</t>
  </si>
  <si>
    <t>Lỗi ngầm trong Console, không có thông báo lỗi UI.</t>
  </si>
  <si>
    <t>Quay lại tab cũ, nhập text và bấm Gửi bình luận</t>
  </si>
  <si>
    <t>CM15</t>
  </si>
  <si>
    <t xml:space="preserve"> Comment user bị ban</t>
  </si>
  <si>
    <t>User B bị khóa nick</t>
  </si>
  <si>
    <t>Truy cập vào trang bài viết có chứa comment cũ của User B</t>
  </si>
  <si>
    <t>Bình luận cũ vẫn hiển thị bình thường.</t>
  </si>
  <si>
    <t>Kiểm tra khu vực bình luận</t>
  </si>
  <si>
    <t>CM16</t>
  </si>
  <si>
    <t>Ở phần bình luận</t>
  </si>
  <si>
    <t>Truy cập khu vực bình luận</t>
  </si>
  <si>
    <t>Hiển thị đúng dạng thời gian tương đối (VD: 2 phút trước).</t>
  </si>
  <si>
    <t>Xem các mốc thời gian của comment</t>
  </si>
  <si>
    <t>CM17</t>
  </si>
  <si>
    <t xml:space="preserve"> Reply comment</t>
  </si>
  <si>
    <t>Ở danh sách bình luận</t>
  </si>
  <si>
    <t>Click nút "Phản hồi" (Reply) dưới một comment bất kỳ</t>
  </si>
  <si>
    <t>Bình luận dạng phản hồi gửi thành công.</t>
  </si>
  <si>
    <t>Nhập câu trả lời và Gửi</t>
  </si>
  <si>
    <t>Reply</t>
  </si>
  <si>
    <t>CM18</t>
  </si>
  <si>
    <t xml:space="preserve"> Spam link</t>
  </si>
  <si>
    <t>Paste một đường link shopee vào comment</t>
  </si>
  <si>
    <t>URL</t>
  </si>
  <si>
    <t>Gửi thành công, link hiển thị dạng chữ thường không click được.</t>
  </si>
  <si>
    <t>CM19</t>
  </si>
  <si>
    <t xml:space="preserve"> Mất mạng khi comment</t>
  </si>
  <si>
    <t>Đang xem bài viết</t>
  </si>
  <si>
    <t>Nhập text bình luận</t>
  </si>
  <si>
    <t>Lỗi ngầm trong Console (F12), UI đứng yên không có lỗi báo trên màn hình.</t>
  </si>
  <si>
    <t>Lỗi ngầm lưu trong Console. Giao diện tĩnh lặng, không có thông báo lỗi UI.</t>
  </si>
  <si>
    <t>Ngắt kết nối mạng và Bấm Gửi</t>
  </si>
  <si>
    <t>CM20</t>
  </si>
  <si>
    <t xml:space="preserve"> Update số comment</t>
  </si>
  <si>
    <t>Bài viết đang có "15 Bình luận"</t>
  </si>
  <si>
    <t>Ghi nhận số lượng bình luận hiện tại</t>
  </si>
  <si>
    <t>Tổng số đếm tăng lên chính xác.</t>
  </si>
  <si>
    <t>Viết một bình luận mới và Gửi thành công</t>
  </si>
  <si>
    <t>Submit</t>
  </si>
  <si>
    <t>CM21</t>
  </si>
  <si>
    <t xml:space="preserve"> Spam comment</t>
  </si>
  <si>
    <t>Dùng tool / click nhanh</t>
  </si>
  <si>
    <t>Nhập nội dung text</t>
  </si>
  <si>
    <t>Bình luận gửi thành công lên nhiều lần (Web KHÔNG có chức năng chống spam chặn Rate Limit).</t>
  </si>
  <si>
    <t>Click nút Gửi liên tục 10 lần trong 5 giây</t>
  </si>
  <si>
    <t>Spam</t>
  </si>
  <si>
    <t>CM22</t>
  </si>
  <si>
    <t xml:space="preserve"> Notification comment</t>
  </si>
  <si>
    <t>User A là chủ bài đăng</t>
  </si>
  <si>
    <t>Dùng User C vào comment bài của User A</t>
  </si>
  <si>
    <t>Notify</t>
  </si>
  <si>
    <t>Nhận được thông báo có người bình luận bài viết.</t>
  </si>
  <si>
    <t>Đăng nhập User A và kiểm tra thông báo</t>
  </si>
  <si>
    <t>F6.1. Upgrade VIP</t>
  </si>
  <si>
    <t>UV01</t>
  </si>
  <si>
    <t xml:space="preserve"> Truy cập trang Upgrade VIP khi chưa Login</t>
  </si>
  <si>
    <t>Gõ URL /upgrade-vip lên trình duyệt</t>
  </si>
  <si>
    <t>Action: Access</t>
  </si>
  <si>
    <t>Hệ thống chặn truy cập, hiển thị popup yêu cầu Đăng nhập hoặc điều hướng thẳng về/login.</t>
  </si>
  <si>
    <t>He thong chan khach thanh cong voi thong bao: 'Bạn phải đăng nhập để truy cập trang này.'</t>
  </si>
  <si>
    <t>Duy</t>
  </si>
  <si>
    <t>Nhấn Enter</t>
  </si>
  <si>
    <t>UV02</t>
  </si>
  <si>
    <t xml:space="preserve"> Truy cập trang Upgrade VIP hợp lệ</t>
  </si>
  <si>
    <t>User đã Login (Tài khoản thường)</t>
  </si>
  <si>
    <t>Từ Trang chủ, bấm vào nút "Nâng cấp VIP" trên Header</t>
  </si>
  <si>
    <t>Hiển thị tiêu đề "Nâng Cấp Tài Khoản VIP", danh sách các gói VIP kèm giá, discount và mô tả.</t>
  </si>
  <si>
    <t>Tai khoan thuong truy cap hop le, hien thi nut: 'Tiến hành thanh toán'</t>
  </si>
  <si>
    <t>Quan sát giao diện trang</t>
  </si>
  <si>
    <t>UV03</t>
  </si>
  <si>
    <t xml:space="preserve"> Truy cập trang Upgrade VIP khi ĐANG LÀ VIP</t>
  </si>
  <si>
    <t>User đang có gói VIP active</t>
  </si>
  <si>
    <t>Truy cập vào trang Upgrade VIP</t>
  </si>
  <si>
    <t>Hiển thị thông báo "Bạn đã là thành viên VIP!", hiện Tên gói, Ngày hết hạn. KHÔNG hiển thị danh sách gói để mua.</t>
  </si>
  <si>
    <t>He thong nhan dien dung, hien thi: 'Bạn đã là thành viên VIP!
 - Gói hiện tại của bạn: Gói 3 Tháng
 - Ngày hết hạn: 8/7/2026
 - Cảm ơn bạn đã đồng hành cùng chúng tôi!
 - Quay về trang chủ'</t>
  </si>
  <si>
    <t>Quan sát giao diện</t>
  </si>
  <si>
    <t>UV04</t>
  </si>
  <si>
    <t xml:space="preserve"> Chọn gói VIP Cơ bản</t>
  </si>
  <si>
    <t>Ở trang Upgrade VIP</t>
  </si>
  <si>
    <t>Click chọn 1 thẻ gói VIP bất kỳ (VD: Gói 1 Tháng)</t>
  </si>
  <si>
    <t>Gói: 1 Month</t>
  </si>
  <si>
    <t>Thẻ gói đó được highlight sáng lên (hiện viền đổi màu).</t>
  </si>
  <si>
    <t>Khoi tao giao dich thanh cong. URL chuyen den: http://localhost:5173/thanh-toan/aq8rq1t9Wd0KEwIkxxN0</t>
  </si>
  <si>
    <t>Bấm nút "Tiến hành thanh toán"</t>
  </si>
  <si>
    <t>Nút chuyển text thành "Đang xử lý...", sau đó điều hướng thành công sang/thanh-toan/:sessionId.</t>
  </si>
  <si>
    <t>UV05</t>
  </si>
  <si>
    <t xml:space="preserve"> Chọn gói VIP có giảm giá</t>
  </si>
  <si>
    <t>Tìm và click thẻ gói có cấu hình discount</t>
  </si>
  <si>
    <t>Gói có discount</t>
  </si>
  <si>
    <t>Hiển thị badge "- X%" giảm giá trên thẻ.</t>
  </si>
  <si>
    <t>Khoi tao giao dich thanh cong. URL chuyen den: http://localhost:5173/thanh-toan/jowkoa5WAhJflHvYTxw9</t>
  </si>
  <si>
    <t>Chuyển hướng sang trang/payment. Hệ thống ghi nhận đúng số tiền đã trừ discount.</t>
  </si>
  <si>
    <t>F6.2.Process Payment</t>
  </si>
  <si>
    <t xml:space="preserve"> Render form hóa đơn thanh toán</t>
  </si>
  <si>
    <t>Đang ở trang PaymentPage</t>
  </si>
  <si>
    <t>Quan sát cột "Tóm tắt đơn hàng" bên phải</t>
  </si>
  <si>
    <t>Profile/Avatar có hiển thị Icon Ngôi sao (FaStar) và text "VIP" nổi bật.</t>
  </si>
  <si>
    <t>Render thanh cong: Tong tien va Dong ho dem nguoc da xuat hien tren DOM.</t>
  </si>
  <si>
    <t>Đối chiếu thông tin</t>
  </si>
  <si>
    <t xml:space="preserve"> Sinh mã QR Code động</t>
  </si>
  <si>
    <t>Click chọn phương thức "Thanh toán QR"</t>
  </si>
  <si>
    <t>Action: Select QR</t>
  </si>
  <si>
    <t>Các bài đăng của Nick VIP LUÔN LUÔN được ưu tiên đẩy lên đầu danh sách so với Nick thường.</t>
  </si>
  <si>
    <t>Ma QR SVG da duoc sinh ra tren giao dien.</t>
  </si>
  <si>
    <t>Kiểm tra khu vực render QR</t>
  </si>
  <si>
    <t xml:space="preserve"> Bảo mật - Cố tình đổi giá tiền bằng DevTools</t>
  </si>
  <si>
    <t>Ở trang PaymentPage</t>
  </si>
  <si>
    <t>F12 sửa DOM HTML, đổi số tiền hiển thị trên UI từ 100k -&gt; 1k</t>
  </si>
  <si>
    <t>Giá trị: Bị thao túng</t>
  </si>
  <si>
    <t>OpenQA.Selenium.ElementClickInterceptedException : element click intercepted: Element &lt;button class="_actionButton_w1nwu_415" data-testid="btn-fake-pay"&gt;...&lt;/button&gt; is not clickable at point (602, 656). Other element would receive the click: &lt;p class="firebase-emulator-warning" style="position: fixed; width: 100%; background-color: rgb(255, 255, 255); border: 0.1em solid rgb(0, 0, 0); color: rgb(181, 0, 0); bottom: 0px; left: 0px; margin: 0px; z-index: 10000; text-align: center;"&gt;...&lt;/p&gt;</t>
  </si>
  <si>
    <t>Quét mã QR hoặc thực hiện Fake Pay</t>
  </si>
  <si>
    <t xml:space="preserve"> Hết hạn thời gian giao dịch (Timeout)</t>
  </si>
  <si>
    <t>Đang hiển thị mã QR/Form thẻ</t>
  </si>
  <si>
    <t>Quan sát đồng hồ đếm ngược chờ giao dịch</t>
  </si>
  <si>
    <t>Time &lt; 60s</t>
  </si>
  <si>
    <t>Thời gian chuyển sang màu đỏ báo động.</t>
  </si>
  <si>
    <t>He thong tu dong het han sau 2 phut. Thong bao thuc te: 'Phiên đã hết hạn'</t>
  </si>
  <si>
    <t>Chờ thời gian đếm về 0:00</t>
  </si>
  <si>
    <t>Timeout</t>
  </si>
  <si>
    <t>Chuyển sang màn hình "Phiên đã hết hạn" (Icon dấu X đỏ), kèm nút "Quay lại".</t>
  </si>
  <si>
    <t xml:space="preserve"> Hủy bỏ giao dịch</t>
  </si>
  <si>
    <t>Bấm nút "Hủy giao dịch"</t>
  </si>
  <si>
    <t>Hiển thị popup confirm "Bạn có chắc muốn hủy giao dịch này không?".</t>
  </si>
  <si>
    <t>Huy thanh cong. He thong hien thi: 'Giao dịch đã bị hủy'</t>
  </si>
  <si>
    <t>Nhấn "OK" (Đồng ý) trên popup</t>
  </si>
  <si>
    <t>Chuyển sang màn hình "Giao dịch đã bị hủy", DB cập nhật status='cancelled'.</t>
  </si>
  <si>
    <t xml:space="preserve"> Reload trang khi đang chờ thanh toán</t>
  </si>
  <si>
    <t>Nhấn phím F5 / Tải lại trang (Reload) trên trình duyệt</t>
  </si>
  <si>
    <t>Action: Reload</t>
  </si>
  <si>
    <t>Hệ thống gọi lại Session, giữ nguyên trạng thái đơn hàng đang chờ và sinh lại đúng QR/Session cũ.</t>
  </si>
  <si>
    <t>OpenQA.Selenium.WebDriverTimeoutException : Timed out after 10 seconds</t>
  </si>
  <si>
    <t>Kiểm tra trạng thái đơn hàng</t>
  </si>
  <si>
    <t xml:space="preserve"> Đóng tab trình duyệt đột ngột</t>
  </si>
  <si>
    <t>Bấm nút X tắt tắt Tab trình duyệt (Close tab)</t>
  </si>
  <si>
    <t>Event: beforeunload</t>
  </si>
  <si>
    <t>Trình duyệt hiện cảnh báo "Rời khỏi trang?".</t>
  </si>
  <si>
    <t>He thong tu dong huy giao dich khi detect thoat trang. Trang thai: 'Giao dịch đã bị hủy'</t>
  </si>
  <si>
    <t>Xác nhận Rời khỏi</t>
  </si>
  <si>
    <t>Hệ thống kích hoạt ngầm lệnhcancelSession, hủy đơn hàng trên Database.</t>
  </si>
  <si>
    <t xml:space="preserve"> Thanh toán giả lập (Fake Pay) thành công</t>
  </si>
  <si>
    <t>Chọn tab "Thẻ ngân hàng" và nhập thông tin thẻ hợp lệ, bấm "Thanh Toán"</t>
  </si>
  <si>
    <t>Action: Fake Pay</t>
  </si>
  <si>
    <t>Giao diện chuyển sang màn hình "Đang xử lý giao dịch" kèm Spinner loading.</t>
  </si>
  <si>
    <t>Giao dich hoan tat voi the 4242 4242 4242 4242. Man hinh hien thi: 'Thanh toán thành công!'</t>
  </si>
  <si>
    <t>Chờ hệ thống xử lý (khoảng 3-10 giây)</t>
  </si>
  <si>
    <t>Time wait</t>
  </si>
  <si>
    <t>Giao diện tự đổi sang "Thanh toán thành công!" kèm biên lai chi tiết. Không cần F5.</t>
  </si>
  <si>
    <t>Không thao tác gì, chờ thêm 5 giây</t>
  </si>
  <si>
    <t>Auto Redirect</t>
  </si>
  <si>
    <t>Hệ thống tự động chuyển hướng về trang chủ.</t>
  </si>
  <si>
    <t xml:space="preserve"> Thanh toán giả lập (Fake Pay) với thông tin rác</t>
  </si>
  <si>
    <t>Chọn tab "Thẻ ngân hàng" và nhập bừa thông tin thẻ, bấm "Thanh Toán"</t>
  </si>
  <si>
    <t>FAIL (LOI VALIDATION): He thong van cho phep the rac 'ABC-XYZ-123' thanh toan thanh cong. Can bo sung logic kiem tra dinh dang the tai Frontend/Backend.</t>
  </si>
  <si>
    <t>Giao diện tự đổi sang "Thanh toán thất bại!". Không cần F5.</t>
  </si>
  <si>
    <t xml:space="preserve"> Thanh toán giả lập (Fake Pay) với thông tin rỗng</t>
  </si>
  <si>
    <t>Chọn tab "Thẻ ngân hàng" và không nhập thông tin thẻ, bấm "Thanh Toán"</t>
  </si>
  <si>
    <t>FAIL (LOI VALIDATION): He thong cho phep thanh toan khi thong tin the dang de trong. Can yeu cau nguoi dung nhap day du thong tin truoc khi bam nut.</t>
  </si>
  <si>
    <t>F6.3.Transaction History</t>
  </si>
  <si>
    <t>TH01</t>
  </si>
  <si>
    <t xml:space="preserve"> Xem Lịch sử Giao dịch rỗng</t>
  </si>
  <si>
    <t>User mới tạo, chưa mua gì</t>
  </si>
  <si>
    <t>Truy cập menu "Lịch sử Giao dịch"</t>
  </si>
  <si>
    <t>Đơn hàng chuyển sang trạng thái "Lỗi / Thiếu tiền". User KHÔNG được lên VIP.</t>
  </si>
  <si>
    <t>He thong hien thi chinh xac thong bao: 'Ban chua co giao dich nao.'</t>
  </si>
  <si>
    <t>Quan sát UI</t>
  </si>
  <si>
    <t>TH02</t>
  </si>
  <si>
    <t xml:space="preserve"> Xem Lịch sử GD hợp lệ</t>
  </si>
  <si>
    <t>User đã có giao dịch mua VIP/Đẩy tin</t>
  </si>
  <si>
    <t>Ngày hết hạn mới = Ngày hết hạn cũ + 30 ngày (Không bị ghi đè mất 5 ngày cũ).</t>
  </si>
  <si>
    <t>He thong load thanh cong bang du lieu voi 1 giao dich.</t>
  </si>
  <si>
    <t>Kiểm tra nội dung bảng</t>
  </si>
  <si>
    <t>F7.1.Manage Users</t>
  </si>
  <si>
    <t>MU01</t>
  </si>
  <si>
    <t xml:space="preserve"> Truy cập trang Quản lý User</t>
  </si>
  <si>
    <t>Admin đã Login</t>
  </si>
  <si>
    <t>Click vào menu "Quản lý Người Dùng" trên Sidebar</t>
  </si>
  <si>
    <t>Hiển thị bảng danh sách User: Avatar, Tên, Email, Ngày tham gia, Trạng thái, Hành động.</t>
  </si>
  <si>
    <t>Truy cập thành công. Tiêu đề trang: 'Quản lý người dùng (7)'</t>
  </si>
  <si>
    <t>Quan sát giao diện màn hình chính</t>
  </si>
  <si>
    <t>MU02</t>
  </si>
  <si>
    <t xml:space="preserve"> Tìm kiếm User theo Email (Chính xác)</t>
  </si>
  <si>
    <t>Ở trang QL User</t>
  </si>
  <si>
    <t>Nhập email của 1 user có thật vào ô tìm kiếm</t>
  </si>
  <si>
    <t>Email: user@gmail.com</t>
  </si>
  <si>
    <t>Bảng chỉ hiển thị đúng 1 dòng dữ liệu của User tương ứng.</t>
  </si>
  <si>
    <t>Tìm thấy User với Email: 'nhao84193@gmail.com'</t>
  </si>
  <si>
    <t>Nhập email vào ô tìm kiếm</t>
  </si>
  <si>
    <t>MU03</t>
  </si>
  <si>
    <t xml:space="preserve"> Tìm kiếm User theo Email (Không tồn tại)</t>
  </si>
  <si>
    <t>Nhập email không có trong DB</t>
  </si>
  <si>
    <t>Email: no-exist@...</t>
  </si>
  <si>
    <t>Bảng không hiển thị kết quả, đồng thời thông báo không tìm thấy user</t>
  </si>
  <si>
    <t>Bảng danh sách hiển thị 0 dòng dữ liệu.</t>
  </si>
  <si>
    <t>Bấm nút "Tìm kiếm"</t>
  </si>
  <si>
    <t>MU04</t>
  </si>
  <si>
    <t xml:space="preserve"> Tìm kiếm rỗng (Clear Search)</t>
  </si>
  <si>
    <t>Xóa trắng nội dung trong ô tìm kiếm</t>
  </si>
  <si>
    <t>Keyword: ""</t>
  </si>
  <si>
    <t>Hệ thống đã reset và nạp lại 0 user vào bảng.</t>
  </si>
  <si>
    <t>Nhấn Enter hoặc click nút Tìm kiếm</t>
  </si>
  <si>
    <t>MU05</t>
  </si>
  <si>
    <t xml:space="preserve"> Khóa (Ban) người dùng thành công</t>
  </si>
  <si>
    <t>Click nút "Cấm" ở 1 User đang Hoạt động</t>
  </si>
  <si>
    <t>Cấm người dùng thành công</t>
  </si>
  <si>
    <t>Trạng thái User trên UI đã đổi thành: 'Đã bị cấm'</t>
  </si>
  <si>
    <t>Nhập lý do cụ thể: "Spam"</t>
  </si>
  <si>
    <t>Nhấn "Xác nhận" trên Modal cảnh báo</t>
  </si>
  <si>
    <t>Action: Confirm Ban</t>
  </si>
  <si>
    <t>MU06</t>
  </si>
  <si>
    <t xml:space="preserve"> Mở khóa (Unban) người dùng</t>
  </si>
  <si>
    <t>Click icon "Mở khóa" ở 1 User đang Banned</t>
  </si>
  <si>
    <t>Trạng thái User trên UI đã đổi thành: 'Hoạt động'</t>
  </si>
  <si>
    <t>Xác nhận mở khóa trên Modal</t>
  </si>
  <si>
    <t>Action: Unban</t>
  </si>
  <si>
    <t>MU07</t>
  </si>
  <si>
    <t xml:space="preserve"> Admin tự khóa chính mình</t>
  </si>
  <si>
    <t>Tìm Email của chính tài khoản Admin đang đăng nhập</t>
  </si>
  <si>
    <t>Bảng lưới chỉ hiển thị đúng 1 dòng dữ liệu của User tương ứng.</t>
  </si>
  <si>
    <t>Dòng dữ liệu của Admin không hiển thị nút Cấm/Gỡ cấm.</t>
  </si>
  <si>
    <t>Kiểm tra cột Hành động của dòng đó</t>
  </si>
  <si>
    <t>MU08</t>
  </si>
  <si>
    <t xml:space="preserve"> User đang Online thì bị Admin Khóa</t>
  </si>
  <si>
    <t>Admin mở tab ẩn danh đăng nhập User A</t>
  </si>
  <si>
    <t>Ở tab Admin: Tiến hành Khóa User A</t>
  </si>
  <si>
    <t>FAIL (Bug Logic): Hệ thống KHÔNG có cơ chế Real-time. Admin khóa tài khoản, User đang online vẫn có thể tiếp tục lướt web.</t>
  </si>
  <si>
    <t>Ở tab Ẩn danh (User A): Click một link bất kỳ</t>
  </si>
  <si>
    <t>F7.2.Manage Posts</t>
  </si>
  <si>
    <t>MP01</t>
  </si>
  <si>
    <t xml:space="preserve"> Xem danh sách Bài chờ duyệt</t>
  </si>
  <si>
    <t>Admin -&gt; QL Bài đăng</t>
  </si>
  <si>
    <t>Truy cập menu Quản lý Bài Đăng</t>
  </si>
  <si>
    <t>Hiển thị thành công: Chờ duyệt tin mới (1)</t>
  </si>
  <si>
    <t>Chuyển sang Tab "Chờ duyệt"</t>
  </si>
  <si>
    <t>Status: Pending</t>
  </si>
  <si>
    <t>MP02</t>
  </si>
  <si>
    <t xml:space="preserve"> Xem chi tiết Bài trước khi duyệt</t>
  </si>
  <si>
    <t>QL Bài đăng (Tab Chờ duyệt)</t>
  </si>
  <si>
    <t>Tìm 1 bài đăng trong danh sách</t>
  </si>
  <si>
    <t>Mở trang chi tiết thành công. Tên SP: 'VINFAST LUX A2.0 2021 – SỐ TỰ ĐỘNG – SEDAN HẠNG D'</t>
  </si>
  <si>
    <t>Bấm vào Tiêu đề bài viết / Nút Xem chi tiết</t>
  </si>
  <si>
    <t>Action: View Detail</t>
  </si>
  <si>
    <t>MP03</t>
  </si>
  <si>
    <t xml:space="preserve"> Duyệt bài thành công</t>
  </si>
  <si>
    <t>Mở chi tiết 1 bài đăng hợp lệ</t>
  </si>
  <si>
    <t>Tin đăng ID ohCYVPQvUyAy0FfEnUUF đã biến mất khỏi danh sách chờ duyệt.</t>
  </si>
  <si>
    <t>Bấm nút "Duyệt bài"</t>
  </si>
  <si>
    <t>Action: Approve</t>
  </si>
  <si>
    <t>MP04</t>
  </si>
  <si>
    <t xml:space="preserve"> Báo Noti khi Duyệt bài</t>
  </si>
  <si>
    <t>Trình duyệt của User đăng bài</t>
  </si>
  <si>
    <t>Admin vừa duyệt bài thành công ở Step 14</t>
  </si>
  <si>
    <t>Event: Approved</t>
  </si>
  <si>
    <t>OpenQA.Selenium.WebDriverException : invalid session id: session deleted as the browser has closed the connection</t>
  </si>
  <si>
    <t>Đăng nhập tài khoản User đó và check chuông</t>
  </si>
  <si>
    <t>MP05</t>
  </si>
  <si>
    <t xml:space="preserve"> Từ chối bài đăng (Có nhập lý do)</t>
  </si>
  <si>
    <t>Bấm nút "Từ chối" ở một bài đăng</t>
  </si>
  <si>
    <t>FAIL (BUG UI): Ô nhập lý do chi tiết KHÔNG xuất hiện khi chọn 'Lý do khác'.</t>
  </si>
  <si>
    <t>Nhập lý do: "Ảnh mờ" và Submit</t>
  </si>
  <si>
    <t>Reason: "Ảnh mờ"</t>
  </si>
  <si>
    <t>MP06</t>
  </si>
  <si>
    <t xml:space="preserve"> Từ chối bài đăng (Bỏ trống lý do)</t>
  </si>
  <si>
    <t>FAIL (BUG UI): Không thể kiểm tra do trường nhập liệu 'Lý do chi tiết' bị ẩn trên giao diện.</t>
  </si>
  <si>
    <t>Để trống ô lý do và bấm Submit</t>
  </si>
  <si>
    <t>Reason: ""</t>
  </si>
  <si>
    <t>MP07</t>
  </si>
  <si>
    <t xml:space="preserve"> Lý do từ chối quá dài</t>
  </si>
  <si>
    <t>FAIL (BUG UI): Không thể paste 500 từ do ô text area bị lỗi ẩn.</t>
  </si>
  <si>
    <t>Paste đoạn text &gt; 500 ký tự và Submit</t>
  </si>
  <si>
    <t>Reason: &gt;500 char</t>
  </si>
  <si>
    <t>MP08</t>
  </si>
  <si>
    <t>Ẩn bài đang hiển thị (Vi phạm)</t>
  </si>
  <si>
    <t>QL Bài đăng (Tab Đang hiển thị)</t>
  </si>
  <si>
    <t>Bấm icon "Ẩn+F41:G41" ở 1 bài public</t>
  </si>
  <si>
    <t>Hệ thống đã hiển thị nút: 'Bỏ ẩn'</t>
  </si>
  <si>
    <t>Xác nhận thao tác ẩn</t>
  </si>
  <si>
    <t>MP09</t>
  </si>
  <si>
    <t xml:space="preserve"> Xóa bài đang hiển thị (Vi phạm)</t>
  </si>
  <si>
    <t>Bấm icon "Xóa" ở 1 bài public</t>
  </si>
  <si>
    <t>Lỗi: Đã ấn xóa nhưng dữ liệu vẫn còn trên DOM!</t>
  </si>
  <si>
    <t>Xác nhận thao tác xóa</t>
  </si>
  <si>
    <t>MP10</t>
  </si>
  <si>
    <t xml:space="preserve"> Tìm kiếm bài đăng theo Tên</t>
  </si>
  <si>
    <t>QL Bài đăng</t>
  </si>
  <si>
    <t>Nhập "Xe Wave cũ" vào ô Search</t>
  </si>
  <si>
    <t>Keyword: "Vinfast"</t>
  </si>
  <si>
    <t>Kết quả đầu tiên khớp: 'VINFAST LUX A2.0 2021 – SỐ TỰ ĐỘNG – SEDAN HẠNG D'</t>
  </si>
  <si>
    <t>Bấm Enter/Tìm kiếm</t>
  </si>
  <si>
    <t>Vinfast</t>
  </si>
  <si>
    <t>F7.3.Manage Categories</t>
  </si>
  <si>
    <t>MC01</t>
  </si>
  <si>
    <t xml:space="preserve"> Thêm Danh mục (Bỏ trống tên)</t>
  </si>
  <si>
    <t>Admin -&gt; QL Danh mục</t>
  </si>
  <si>
    <t>Bấm nút "Thêm mới"</t>
  </si>
  <si>
    <t>Để trống ô Tên Danh Mục và bấm Lưu</t>
  </si>
  <si>
    <t>Tên DM: ""</t>
  </si>
  <si>
    <t>MC02</t>
  </si>
  <si>
    <t xml:space="preserve"> Thêm Danh mục hợp lệ</t>
  </si>
  <si>
    <t>QL Danh mục</t>
  </si>
  <si>
    <t>Bấm nút "Thêm mới" và nhập "Thú cưng"</t>
  </si>
  <si>
    <t>Tên DM: "Thú cưng"</t>
  </si>
  <si>
    <t>Bấm Lưu</t>
  </si>
  <si>
    <t>MC03</t>
  </si>
  <si>
    <t xml:space="preserve"> Thêm Danh mục TRÙNG TÊN</t>
  </si>
  <si>
    <t>Nhập "Xe cộ" (tên đã tồn tại) và Lưu</t>
  </si>
  <si>
    <t>Tên DM: Trùng lặp</t>
  </si>
  <si>
    <t>MC04</t>
  </si>
  <si>
    <t xml:space="preserve"> Tên Danh mục quá dài</t>
  </si>
  <si>
    <t>Paste chuỗi dài 100 ký tự và Lưu</t>
  </si>
  <si>
    <t>Tên DM: 100 char</t>
  </si>
  <si>
    <t>MC05</t>
  </si>
  <si>
    <t xml:space="preserve"> Upload Icon/Ảnh cho Danh mục</t>
  </si>
  <si>
    <t>Điền Tên DM và chọn file ảnh .png</t>
  </si>
  <si>
    <t>File: 1 .png</t>
  </si>
  <si>
    <t>MC06</t>
  </si>
  <si>
    <t xml:space="preserve"> Upload Icon sai định dạng</t>
  </si>
  <si>
    <t>Điền Tên DM và chọn file .pdf hoặc .exe</t>
  </si>
  <si>
    <t>File: .pdf</t>
  </si>
  <si>
    <t>MC07</t>
  </si>
  <si>
    <t xml:space="preserve"> Cập nhật tên Danh mục</t>
  </si>
  <si>
    <t>Bấm nút Sửa ở DM "Xe cộ"</t>
  </si>
  <si>
    <t>Đổi tên thành "Phương tiện" và Lưu</t>
  </si>
  <si>
    <t>Tên mới: "Phương tiện"</t>
  </si>
  <si>
    <t>MC08</t>
  </si>
  <si>
    <t xml:space="preserve"> Cập nhật tên trùng với DM khác</t>
  </si>
  <si>
    <t>Bấm nút Sửa DM A</t>
  </si>
  <si>
    <t>Đổi thành tên của DM B đã có và Lưu</t>
  </si>
  <si>
    <t>Tên mới: Trùng lặp</t>
  </si>
  <si>
    <t>MC09</t>
  </si>
  <si>
    <t xml:space="preserve"> Xóa Danh mục TRỐNG</t>
  </si>
  <si>
    <t>Bấm Xóa 1 DM vừa tạo (Đang có 0 SP)</t>
  </si>
  <si>
    <t>DM: 0 SP</t>
  </si>
  <si>
    <t>Xác nhận trên Modal</t>
  </si>
  <si>
    <t>MC10</t>
  </si>
  <si>
    <t xml:space="preserve"> Xóa Danh mục ĐANG CÓ BÀI</t>
  </si>
  <si>
    <t>Tìm DM "Điện thoại" (Đang có 100 bài)</t>
  </si>
  <si>
    <t>DM: 100 SP</t>
  </si>
  <si>
    <t>Bấm Xóa</t>
  </si>
  <si>
    <t>MC11</t>
  </si>
  <si>
    <t xml:space="preserve"> Ẩn Danh mục (Inactive)</t>
  </si>
  <si>
    <t>Tắt công tắc (Switch) "Hoạt động" của DM A</t>
  </si>
  <si>
    <t>Action: Inactive</t>
  </si>
  <si>
    <t>Kiểm tra trang chủ khách hàng</t>
  </si>
  <si>
    <t>MC12</t>
  </si>
  <si>
    <t xml:space="preserve"> Thêm Danh mục Con (Sub-Cat)</t>
  </si>
  <si>
    <t>Chọn DM Cha: "Xe cộ"</t>
  </si>
  <si>
    <t>Điền tên "Xe điện" và Lưu</t>
  </si>
  <si>
    <t>Action: Sub-cat</t>
  </si>
  <si>
    <t>F7.4.Dashboard &amp; Routing</t>
  </si>
  <si>
    <t>DR01</t>
  </si>
  <si>
    <t xml:space="preserve"> Thống kê Tổng User</t>
  </si>
  <si>
    <t>Admin -&gt; Dashboard</t>
  </si>
  <si>
    <t>Mở trang Dashboard</t>
  </si>
  <si>
    <t>Dữ liệu thực tế: TỔNG NGƯỜI DÙNG : 9</t>
  </si>
  <si>
    <t>Nhìn số liệu trên thẻ Card "Tổng Người Dùng"</t>
  </si>
  <si>
    <t>DR02</t>
  </si>
  <si>
    <t xml:space="preserve"> Thống kê Tổng Bài Đăng</t>
  </si>
  <si>
    <t>Dữ liệu thực tế: TỔNG TIN ĐĂNG : 1</t>
  </si>
  <si>
    <t>Nhìn số liệu trên thẻ Card "Tổng Bài Đăng"</t>
  </si>
  <si>
    <t>DR03</t>
  </si>
  <si>
    <t xml:space="preserve"> Thống kê theo Danh mục</t>
  </si>
  <si>
    <t>Gõ URL /admin/manage-posts lên thanh địa chỉ</t>
  </si>
  <si>
    <t>URL: /admin</t>
  </si>
  <si>
    <t>Thẻ Canvas Biểu đồ Danh mục đã được Render trên DOM.</t>
  </si>
  <si>
    <t>DR04</t>
  </si>
  <si>
    <t>Thống kê trạng thái tin</t>
  </si>
  <si>
    <t>Vào Admin panel</t>
  </si>
  <si>
    <t>Thẻ Canvas Biểu đồ Trạng thái tin đã được Render trên DOM.</t>
  </si>
  <si>
    <t>Kiểm tra thanh Sidebar bên trái</t>
  </si>
  <si>
    <t>DR05</t>
  </si>
  <si>
    <t>Thống kê phân loại User</t>
  </si>
  <si>
    <t>Tìm icon Hamburger (3 gạch) ở header admin</t>
  </si>
  <si>
    <t>Thẻ Canvas Biểu đồ Phân loại User đã được Render trên DOM.</t>
  </si>
  <si>
    <t>Bấm vào icon Hamburger</t>
  </si>
  <si>
    <t>Action: Toggle Menu</t>
  </si>
  <si>
    <t>DR06</t>
  </si>
  <si>
    <t>Thống kê doanh thu</t>
  </si>
  <si>
    <t>Mở DevTools (F12)</t>
  </si>
  <si>
    <t>Dữ liệu thực tế: TỔNG DOANH THU : 940.000 đ</t>
  </si>
  <si>
    <t>Chuyển sang chế độ Mobile (Resize cửa sổ)</t>
  </si>
  <si>
    <t>UI: Resize</t>
  </si>
  <si>
    <t>DR07</t>
  </si>
  <si>
    <t xml:space="preserve"> Admin Đăng xuất</t>
  </si>
  <si>
    <t xml:space="preserve">Admin </t>
  </si>
  <si>
    <t>Bấm vào Avatar Admin góc phải</t>
  </si>
  <si>
    <t>Đăng xuất thành công. URL bị điều hướng về: http://localhost:5173/</t>
  </si>
  <si>
    <t>Chọn "Đăng xuất"</t>
  </si>
  <si>
    <t>Action: Logout</t>
  </si>
  <si>
    <t>DR08</t>
  </si>
  <si>
    <t>Lịch sử kiểm duyệt</t>
  </si>
  <si>
    <t>Admin -&gt; Lịch sử kiểm duyệt</t>
  </si>
  <si>
    <t>Bấm nút Back (Mũi tên lùi) trên trình duyệt web</t>
  </si>
  <si>
    <t>URL thực tế sau khi click: http://localhost:5173/admin/history</t>
  </si>
  <si>
    <t>Kiểm tra truy cập</t>
  </si>
  <si>
    <t>Action: Back History</t>
  </si>
  <si>
    <t>DR09</t>
  </si>
  <si>
    <t>Quản lý doanh thu</t>
  </si>
  <si>
    <t>Admin -&gt; Quản lý doanh thu</t>
  </si>
  <si>
    <t>Mở trang Log Hoạt Động</t>
  </si>
  <si>
    <t>URL thực tế sau khi click: http://localhost:5173/admin/revenue</t>
  </si>
  <si>
    <t>Tìm kiếm hành động vừa làm ở Step 14</t>
  </si>
  <si>
    <t>View Log</t>
  </si>
  <si>
    <t>DR10</t>
  </si>
  <si>
    <t>Cố gắng vào trang Admin khi không đăng nhập</t>
  </si>
  <si>
    <t>Hệ thống chặn truy cập và văng thông báo: 'Bạn không có quyền truy cập vào khu vực này.'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</si>
</sst>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Arial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charset val="1"/>
    </font>
    <font>
      <sz val="11"/>
      <color rgb="FF000000"/>
      <name val="Inter"/>
      <family val="2"/>
      <charset val="1"/>
    </font>
    <font>
      <b/>
      <sz val="11"/>
      <color rgb="FF000000"/>
      <name val="Inter"/>
      <family val="2"/>
      <charset val="1"/>
    </font>
    <font>
      <sz val="11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sz val="11"/>
      <color rgb="FF1F1F1F"/>
      <name val="Calibri"/>
      <scheme val="minor"/>
    </font>
    <font>
      <sz val="10"/>
      <color theme="1"/>
      <name val="Arial"/>
      <charset val="1"/>
    </font>
    <font>
      <sz val="11"/>
      <color rgb="FF000000"/>
      <name val="Inter"/>
      <charset val="1"/>
    </font>
    <font>
      <b/>
      <sz val="11"/>
      <color rgb="FF1F1F1F"/>
      <name val="Calibri"/>
      <scheme val="minor"/>
    </font>
    <font>
      <sz val="10"/>
      <color rgb="FF000000"/>
      <name val="Arial"/>
      <family val="2"/>
    </font>
    <font>
      <b/>
      <sz val="11"/>
      <color rgb="FF1F1F1F"/>
      <name val="Google Sans Text"/>
      <charset val="1"/>
    </font>
    <font>
      <sz val="11"/>
      <color rgb="FF1F1F1F"/>
      <name val="Google Sans Text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u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0"/>
      <color rgb="FF008000"/>
      <name val="Arial"/>
      <charset val="1"/>
    </font>
    <font>
      <u/>
      <sz val="10"/>
      <color rgb="FF0000FF"/>
      <name val="Arial"/>
      <charset val="1"/>
    </font>
    <font>
      <sz val="11"/>
      <color theme="1"/>
      <name val="Calibri "/>
    </font>
    <font>
      <b/>
      <sz val="14"/>
      <color rgb="FF000000"/>
      <name val="Calibri "/>
    </font>
    <font>
      <b/>
      <sz val="14"/>
      <name val="Calibri "/>
    </font>
    <font>
      <b/>
      <sz val="11"/>
      <color rgb="FF008000"/>
      <name val="Calibri"/>
      <scheme val="minor"/>
    </font>
    <font>
      <b/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 "/>
    </font>
    <font>
      <u/>
      <sz val="11"/>
      <color rgb="FF0000FF"/>
      <name val="Calibri "/>
    </font>
    <font>
      <b/>
      <sz val="11"/>
      <color rgb="FFFF0000"/>
      <name val="Calibri "/>
    </font>
    <font>
      <u/>
      <sz val="11"/>
      <color rgb="FF0000FF"/>
      <name val="Calibri "/>
    </font>
    <font>
      <b/>
      <sz val="11"/>
      <color rgb="FFFF0000"/>
      <name val="Calibri "/>
    </font>
    <font>
      <u/>
      <sz val="11"/>
      <color rgb="FF0000FF"/>
      <name val="Calibri "/>
    </font>
    <font>
      <b/>
      <sz val="11"/>
      <color rgb="FFFF0000"/>
      <name val="Calibri "/>
    </font>
    <font>
      <u/>
      <sz val="11"/>
      <color rgb="FF0000FF"/>
      <name val="Calibri "/>
    </font>
    <font>
      <b/>
      <sz val="11"/>
      <color rgb="FFFF0000"/>
      <name val="Calibri "/>
    </font>
    <font>
      <u/>
      <sz val="11"/>
      <color rgb="FF0000FF"/>
      <name val="Calibri "/>
    </font>
    <font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5"/>
      <color rgb="FF000080"/>
      <name val="Arial"/>
      <family val="2"/>
    </font>
    <font>
      <sz val="15"/>
      <color rgb="FF000000"/>
      <name val="Arial"/>
      <family val="2"/>
    </font>
    <font>
      <sz val="15"/>
      <color theme="1"/>
      <name val="Calibri"/>
      <family val="2"/>
      <scheme val="minor"/>
    </font>
    <font>
      <b/>
      <sz val="15"/>
      <color rgb="FF000000"/>
      <name val="Arial"/>
      <family val="2"/>
    </font>
    <font>
      <i/>
      <sz val="15"/>
      <color rgb="FF000000"/>
      <name val="Arial"/>
      <family val="2"/>
    </font>
    <font>
      <b/>
      <sz val="15"/>
      <color theme="9" tint="-0.249977111117893"/>
      <name val="Arial"/>
      <family val="2"/>
    </font>
    <font>
      <b/>
      <sz val="15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7CE1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FFD96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theme="0"/>
        <bgColor rgb="FF000000"/>
      </patternFill>
    </fill>
  </fills>
  <borders count="10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000000"/>
      </right>
      <top style="thin">
        <color rgb="FF1F1F1F"/>
      </top>
      <bottom/>
      <diagonal/>
    </border>
    <border>
      <left style="thin">
        <color rgb="FF1F1F1F"/>
      </left>
      <right style="thin">
        <color rgb="FF000000"/>
      </right>
      <top/>
      <bottom style="thin">
        <color rgb="FF1F1F1F"/>
      </bottom>
      <diagonal/>
    </border>
    <border>
      <left style="thin">
        <color rgb="FF1F1F1F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1F1F1F"/>
      </right>
      <top style="thin">
        <color rgb="FF1F1F1F"/>
      </top>
      <bottom/>
      <diagonal/>
    </border>
    <border>
      <left style="thin">
        <color rgb="FF000000"/>
      </left>
      <right style="thin">
        <color rgb="FF1F1F1F"/>
      </right>
      <top/>
      <bottom/>
      <diagonal/>
    </border>
    <border>
      <left style="thin">
        <color rgb="FF000000"/>
      </left>
      <right style="thin">
        <color rgb="FF1F1F1F"/>
      </right>
      <top/>
      <bottom style="thin">
        <color rgb="FF1F1F1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3">
    <xf numFmtId="0" fontId="0" fillId="0" borderId="0" xfId="0"/>
    <xf numFmtId="0" fontId="2" fillId="2" borderId="8" xfId="0" applyFont="1" applyFill="1" applyBorder="1" applyAlignment="1">
      <alignment horizontal="right" vertical="center" wrapText="1"/>
    </xf>
    <xf numFmtId="0" fontId="3" fillId="0" borderId="9" xfId="0" applyFont="1" applyBorder="1" applyAlignment="1">
      <alignment vertical="center" wrapText="1"/>
    </xf>
    <xf numFmtId="164" fontId="3" fillId="0" borderId="12" xfId="0" applyNumberFormat="1" applyFont="1" applyBorder="1" applyAlignment="1">
      <alignment horizontal="left" vertical="center" wrapText="1" indent="1"/>
    </xf>
    <xf numFmtId="0" fontId="2" fillId="2" borderId="13" xfId="0" applyFont="1" applyFill="1" applyBorder="1" applyAlignment="1">
      <alignment horizontal="right" vertical="center" wrapText="1"/>
    </xf>
    <xf numFmtId="164" fontId="3" fillId="0" borderId="14" xfId="0" applyNumberFormat="1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2" fillId="0" borderId="7" xfId="0" applyFont="1" applyBorder="1" applyAlignment="1">
      <alignment horizontal="left" vertical="center" wrapText="1" indent="1"/>
    </xf>
    <xf numFmtId="0" fontId="0" fillId="0" borderId="15" xfId="0" applyBorder="1" applyAlignment="1">
      <alignment horizontal="left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15" fillId="2" borderId="33" xfId="0" applyFont="1" applyFill="1" applyBorder="1" applyAlignment="1">
      <alignment horizontal="center" vertical="center"/>
    </xf>
    <xf numFmtId="0" fontId="17" fillId="0" borderId="15" xfId="0" applyFont="1" applyBorder="1" applyAlignment="1">
      <alignment horizontal="center" vertical="center" wrapText="1" readingOrder="1"/>
    </xf>
    <xf numFmtId="0" fontId="17" fillId="4" borderId="15" xfId="0" applyFont="1" applyFill="1" applyBorder="1" applyAlignment="1">
      <alignment horizontal="center" vertical="center" wrapText="1" readingOrder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7" fillId="2" borderId="47" xfId="0" applyFont="1" applyFill="1" applyBorder="1" applyAlignment="1">
      <alignment horizontal="center" vertical="center" wrapText="1"/>
    </xf>
    <xf numFmtId="0" fontId="7" fillId="2" borderId="48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wrapText="1"/>
    </xf>
    <xf numFmtId="0" fontId="8" fillId="2" borderId="49" xfId="1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left" vertical="center" wrapText="1"/>
    </xf>
    <xf numFmtId="0" fontId="20" fillId="0" borderId="0" xfId="0" applyFont="1"/>
    <xf numFmtId="0" fontId="0" fillId="0" borderId="3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 readingOrder="1"/>
    </xf>
    <xf numFmtId="0" fontId="22" fillId="0" borderId="40" xfId="0" quotePrefix="1" applyFont="1" applyBorder="1" applyAlignment="1">
      <alignment horizontal="center" vertical="center" wrapText="1" readingOrder="1"/>
    </xf>
    <xf numFmtId="0" fontId="0" fillId="0" borderId="15" xfId="0" applyBorder="1" applyAlignment="1">
      <alignment horizontal="center" vertical="center" wrapText="1" readingOrder="1"/>
    </xf>
    <xf numFmtId="0" fontId="0" fillId="0" borderId="24" xfId="0" applyBorder="1" applyAlignment="1">
      <alignment horizontal="center" vertical="center" wrapText="1" readingOrder="1"/>
    </xf>
    <xf numFmtId="0" fontId="18" fillId="0" borderId="15" xfId="0" applyFont="1" applyBorder="1" applyAlignment="1">
      <alignment horizontal="center" vertical="center" wrapText="1"/>
    </xf>
    <xf numFmtId="0" fontId="22" fillId="0" borderId="60" xfId="0" applyFont="1" applyBorder="1" applyAlignment="1">
      <alignment horizontal="left" vertical="center" wrapText="1" readingOrder="1"/>
    </xf>
    <xf numFmtId="0" fontId="0" fillId="0" borderId="33" xfId="0" applyBorder="1" applyAlignment="1">
      <alignment horizontal="left" vertical="center" wrapText="1"/>
    </xf>
    <xf numFmtId="0" fontId="22" fillId="0" borderId="40" xfId="0" applyFont="1" applyBorder="1" applyAlignment="1">
      <alignment horizontal="left" vertical="center" wrapText="1" readingOrder="1"/>
    </xf>
    <xf numFmtId="0" fontId="0" fillId="0" borderId="17" xfId="0" applyBorder="1" applyAlignment="1">
      <alignment horizontal="center" vertical="center" wrapText="1"/>
    </xf>
    <xf numFmtId="0" fontId="7" fillId="2" borderId="70" xfId="0" applyFont="1" applyFill="1" applyBorder="1" applyAlignment="1">
      <alignment horizontal="center" vertical="center" wrapText="1"/>
    </xf>
    <xf numFmtId="0" fontId="7" fillId="2" borderId="71" xfId="0" applyFont="1" applyFill="1" applyBorder="1" applyAlignment="1">
      <alignment horizontal="center" vertical="center" wrapText="1"/>
    </xf>
    <xf numFmtId="0" fontId="7" fillId="2" borderId="72" xfId="0" applyFont="1" applyFill="1" applyBorder="1" applyAlignment="1">
      <alignment horizontal="center" vertical="center" wrapText="1"/>
    </xf>
    <xf numFmtId="0" fontId="8" fillId="2" borderId="72" xfId="1" applyFont="1" applyFill="1" applyBorder="1" applyAlignment="1">
      <alignment horizontal="center" vertical="center" wrapText="1"/>
    </xf>
    <xf numFmtId="0" fontId="7" fillId="2" borderId="73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 readingOrder="1"/>
    </xf>
    <xf numFmtId="0" fontId="26" fillId="0" borderId="0" xfId="0" applyFont="1" applyAlignment="1">
      <alignment wrapText="1"/>
    </xf>
    <xf numFmtId="0" fontId="28" fillId="0" borderId="40" xfId="0" applyFont="1" applyBorder="1" applyAlignment="1">
      <alignment horizontal="center" vertical="center" readingOrder="1"/>
    </xf>
    <xf numFmtId="0" fontId="27" fillId="8" borderId="40" xfId="0" applyFont="1" applyFill="1" applyBorder="1" applyAlignment="1">
      <alignment horizontal="center" vertical="center" readingOrder="1"/>
    </xf>
    <xf numFmtId="0" fontId="1" fillId="0" borderId="15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66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24" fillId="0" borderId="6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8" fillId="0" borderId="67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24" fillId="0" borderId="6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37" fillId="10" borderId="97" xfId="0" applyFont="1" applyFill="1" applyBorder="1" applyAlignment="1">
      <alignment horizontal="center" vertical="center" wrapText="1"/>
    </xf>
    <xf numFmtId="0" fontId="37" fillId="10" borderId="89" xfId="0" applyFont="1" applyFill="1" applyBorder="1" applyAlignment="1">
      <alignment horizontal="center" vertical="center" wrapText="1"/>
    </xf>
    <xf numFmtId="0" fontId="38" fillId="10" borderId="89" xfId="0" applyFont="1" applyFill="1" applyBorder="1" applyAlignment="1">
      <alignment horizontal="center" vertical="center" wrapText="1"/>
    </xf>
    <xf numFmtId="0" fontId="37" fillId="11" borderId="86" xfId="0" applyFont="1" applyFill="1" applyBorder="1" applyAlignment="1">
      <alignment horizontal="center" vertical="center" wrapText="1"/>
    </xf>
    <xf numFmtId="0" fontId="37" fillId="11" borderId="9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18" fillId="0" borderId="15" xfId="0" applyFont="1" applyBorder="1" applyAlignment="1">
      <alignment horizontal="center" wrapText="1"/>
    </xf>
    <xf numFmtId="0" fontId="1" fillId="0" borderId="15" xfId="1" applyFont="1" applyBorder="1" applyAlignment="1">
      <alignment horizontal="center" wrapText="1"/>
    </xf>
    <xf numFmtId="0" fontId="0" fillId="0" borderId="3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12" borderId="8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9" fillId="4" borderId="15" xfId="0" applyFont="1" applyFill="1" applyBorder="1" applyAlignment="1">
      <alignment horizontal="center" vertical="center" wrapText="1" readingOrder="1"/>
    </xf>
    <xf numFmtId="0" fontId="61" fillId="0" borderId="0" xfId="0" applyFont="1" applyBorder="1" applyAlignment="1">
      <alignment horizontal="center" vertical="center" wrapText="1"/>
    </xf>
    <xf numFmtId="0" fontId="62" fillId="0" borderId="0" xfId="0" applyFont="1" applyBorder="1" applyAlignment="1">
      <alignment horizontal="center" vertical="center"/>
    </xf>
    <xf numFmtId="0" fontId="61" fillId="0" borderId="0" xfId="0" applyFont="1" applyBorder="1" applyAlignment="1">
      <alignment vertical="center" wrapText="1"/>
    </xf>
    <xf numFmtId="0" fontId="62" fillId="0" borderId="0" xfId="0" applyFont="1" applyBorder="1" applyAlignment="1">
      <alignment vertical="center"/>
    </xf>
    <xf numFmtId="0" fontId="57" fillId="13" borderId="104" xfId="0" applyFont="1" applyFill="1" applyBorder="1" applyAlignment="1">
      <alignment horizontal="center" vertical="center" wrapText="1"/>
    </xf>
    <xf numFmtId="0" fontId="58" fillId="14" borderId="104" xfId="0" applyFont="1" applyFill="1" applyBorder="1" applyAlignment="1">
      <alignment horizontal="center" vertical="center" wrapText="1"/>
    </xf>
    <xf numFmtId="0" fontId="1" fillId="0" borderId="15" xfId="1" applyFont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69" xfId="0" applyFont="1" applyFill="1" applyBorder="1" applyAlignment="1">
      <alignment horizontal="center" vertical="center"/>
    </xf>
    <xf numFmtId="0" fontId="2" fillId="4" borderId="76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60" fillId="5" borderId="7" xfId="0" applyFont="1" applyFill="1" applyBorder="1" applyAlignment="1">
      <alignment horizontal="center" vertical="center" wrapText="1"/>
    </xf>
    <xf numFmtId="0" fontId="60" fillId="5" borderId="6" xfId="0" applyFont="1" applyFill="1" applyBorder="1" applyAlignment="1">
      <alignment horizontal="center" vertical="center" wrapText="1"/>
    </xf>
    <xf numFmtId="0" fontId="60" fillId="5" borderId="90" xfId="0" applyFont="1" applyFill="1" applyBorder="1" applyAlignment="1">
      <alignment horizontal="center" vertical="center" wrapText="1"/>
    </xf>
    <xf numFmtId="0" fontId="63" fillId="6" borderId="7" xfId="0" applyFont="1" applyFill="1" applyBorder="1" applyAlignment="1">
      <alignment horizontal="center" vertical="center" wrapText="1"/>
    </xf>
    <xf numFmtId="0" fontId="63" fillId="6" borderId="6" xfId="0" applyFont="1" applyFill="1" applyBorder="1" applyAlignment="1">
      <alignment horizontal="center" vertical="center" wrapText="1"/>
    </xf>
    <xf numFmtId="0" fontId="63" fillId="6" borderId="83" xfId="0" applyFont="1" applyFill="1" applyBorder="1" applyAlignment="1">
      <alignment horizontal="center" vertical="center" wrapText="1"/>
    </xf>
    <xf numFmtId="0" fontId="63" fillId="6" borderId="90" xfId="0" applyFont="1" applyFill="1" applyBorder="1" applyAlignment="1">
      <alignment horizontal="center" vertical="center" wrapText="1"/>
    </xf>
    <xf numFmtId="0" fontId="61" fillId="0" borderId="7" xfId="0" applyFont="1" applyBorder="1" applyAlignment="1">
      <alignment horizontal="center" vertical="center" wrapText="1"/>
    </xf>
    <xf numFmtId="0" fontId="61" fillId="0" borderId="6" xfId="0" applyFont="1" applyBorder="1" applyAlignment="1">
      <alignment horizontal="center" vertical="center" wrapText="1"/>
    </xf>
    <xf numFmtId="0" fontId="61" fillId="0" borderId="90" xfId="0" applyFont="1" applyBorder="1" applyAlignment="1">
      <alignment horizontal="center" vertical="center" wrapText="1"/>
    </xf>
    <xf numFmtId="0" fontId="62" fillId="0" borderId="107" xfId="0" applyFont="1" applyBorder="1" applyAlignment="1">
      <alignment horizontal="center" vertical="center" wrapText="1"/>
    </xf>
    <xf numFmtId="0" fontId="62" fillId="0" borderId="6" xfId="0" applyFont="1" applyBorder="1" applyAlignment="1">
      <alignment horizontal="center" vertical="center" wrapText="1"/>
    </xf>
    <xf numFmtId="0" fontId="62" fillId="0" borderId="90" xfId="0" applyFont="1" applyBorder="1" applyAlignment="1">
      <alignment horizontal="center" vertical="center" wrapText="1"/>
    </xf>
    <xf numFmtId="0" fontId="57" fillId="13" borderId="104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 wrapText="1"/>
    </xf>
    <xf numFmtId="0" fontId="64" fillId="0" borderId="6" xfId="0" applyFont="1" applyBorder="1" applyAlignment="1">
      <alignment horizontal="center" vertical="center" wrapText="1"/>
    </xf>
    <xf numFmtId="0" fontId="64" fillId="0" borderId="87" xfId="0" applyFont="1" applyBorder="1" applyAlignment="1">
      <alignment horizontal="center" vertical="center" wrapText="1"/>
    </xf>
    <xf numFmtId="0" fontId="63" fillId="0" borderId="7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83" xfId="0" applyFont="1" applyBorder="1" applyAlignment="1">
      <alignment horizontal="center" vertical="center"/>
    </xf>
    <xf numFmtId="0" fontId="65" fillId="0" borderId="105" xfId="0" applyFont="1" applyBorder="1" applyAlignment="1">
      <alignment horizontal="center" vertical="center" wrapText="1"/>
    </xf>
    <xf numFmtId="0" fontId="65" fillId="0" borderId="79" xfId="0" applyFont="1" applyBorder="1" applyAlignment="1">
      <alignment horizontal="center" vertical="center" wrapText="1"/>
    </xf>
    <xf numFmtId="0" fontId="65" fillId="0" borderId="106" xfId="0" applyFont="1" applyBorder="1" applyAlignment="1">
      <alignment horizontal="center" vertical="center" wrapText="1"/>
    </xf>
    <xf numFmtId="0" fontId="66" fillId="0" borderId="100" xfId="0" applyFont="1" applyBorder="1" applyAlignment="1">
      <alignment horizontal="center" vertical="center" wrapText="1"/>
    </xf>
    <xf numFmtId="0" fontId="66" fillId="0" borderId="81" xfId="0" applyFont="1" applyBorder="1" applyAlignment="1">
      <alignment horizontal="center" vertical="center" wrapText="1"/>
    </xf>
    <xf numFmtId="0" fontId="66" fillId="0" borderId="92" xfId="0" applyFont="1" applyBorder="1" applyAlignment="1">
      <alignment horizontal="center" vertical="center" wrapText="1"/>
    </xf>
    <xf numFmtId="0" fontId="63" fillId="0" borderId="101" xfId="0" applyFont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 wrapText="1"/>
    </xf>
    <xf numFmtId="0" fontId="63" fillId="0" borderId="83" xfId="0" applyFont="1" applyBorder="1" applyAlignment="1">
      <alignment horizontal="center" vertical="center" wrapText="1"/>
    </xf>
    <xf numFmtId="0" fontId="63" fillId="7" borderId="98" xfId="0" applyFont="1" applyFill="1" applyBorder="1" applyAlignment="1">
      <alignment horizontal="center" vertical="center" wrapText="1"/>
    </xf>
    <xf numFmtId="0" fontId="63" fillId="7" borderId="99" xfId="0" applyFont="1" applyFill="1" applyBorder="1" applyAlignment="1">
      <alignment horizontal="center" vertical="center" wrapText="1"/>
    </xf>
    <xf numFmtId="0" fontId="63" fillId="7" borderId="91" xfId="0" applyFont="1" applyFill="1" applyBorder="1" applyAlignment="1">
      <alignment horizontal="center" vertical="center" wrapText="1"/>
    </xf>
    <xf numFmtId="0" fontId="63" fillId="7" borderId="5" xfId="0" applyFont="1" applyFill="1" applyBorder="1" applyAlignment="1">
      <alignment horizontal="center" vertical="center" wrapText="1"/>
    </xf>
    <xf numFmtId="0" fontId="63" fillId="7" borderId="6" xfId="0" applyFont="1" applyFill="1" applyBorder="1" applyAlignment="1">
      <alignment horizontal="center" vertical="center" wrapText="1"/>
    </xf>
    <xf numFmtId="0" fontId="63" fillId="7" borderId="90" xfId="0" applyFont="1" applyFill="1" applyBorder="1" applyAlignment="1">
      <alignment horizontal="center" vertical="center" wrapText="1"/>
    </xf>
    <xf numFmtId="0" fontId="63" fillId="0" borderId="102" xfId="0" applyFont="1" applyBorder="1" applyAlignment="1">
      <alignment horizontal="center" vertical="center" wrapText="1"/>
    </xf>
    <xf numFmtId="0" fontId="63" fillId="0" borderId="0" xfId="0" applyFont="1" applyBorder="1" applyAlignment="1">
      <alignment horizontal="center" vertical="center" wrapText="1"/>
    </xf>
    <xf numFmtId="0" fontId="63" fillId="0" borderId="103" xfId="0" applyFont="1" applyBorder="1" applyAlignment="1">
      <alignment horizontal="center" vertical="center" wrapText="1"/>
    </xf>
    <xf numFmtId="0" fontId="63" fillId="7" borderId="88" xfId="0" applyFont="1" applyFill="1" applyBorder="1" applyAlignment="1">
      <alignment horizontal="center" vertical="center" wrapText="1"/>
    </xf>
    <xf numFmtId="0" fontId="63" fillId="7" borderId="84" xfId="0" applyFont="1" applyFill="1" applyBorder="1" applyAlignment="1">
      <alignment horizontal="center" vertical="center" wrapText="1"/>
    </xf>
    <xf numFmtId="0" fontId="63" fillId="7" borderId="89" xfId="0" applyFont="1" applyFill="1" applyBorder="1" applyAlignment="1">
      <alignment horizontal="center" vertical="center" wrapText="1"/>
    </xf>
    <xf numFmtId="0" fontId="63" fillId="7" borderId="85" xfId="0" applyFont="1" applyFill="1" applyBorder="1" applyAlignment="1">
      <alignment horizontal="center" vertical="center" wrapText="1"/>
    </xf>
    <xf numFmtId="0" fontId="63" fillId="7" borderId="0" xfId="0" applyFont="1" applyFill="1" applyBorder="1" applyAlignment="1">
      <alignment horizontal="center" vertical="center" wrapText="1"/>
    </xf>
    <xf numFmtId="0" fontId="63" fillId="7" borderId="86" xfId="0" applyFont="1" applyFill="1" applyBorder="1" applyAlignment="1">
      <alignment horizontal="center" vertical="center" wrapText="1"/>
    </xf>
    <xf numFmtId="0" fontId="63" fillId="7" borderId="80" xfId="0" applyFont="1" applyFill="1" applyBorder="1" applyAlignment="1">
      <alignment horizontal="center" vertical="center" wrapText="1"/>
    </xf>
    <xf numFmtId="0" fontId="63" fillId="7" borderId="81" xfId="0" applyFont="1" applyFill="1" applyBorder="1" applyAlignment="1">
      <alignment horizontal="center" vertical="center" wrapText="1"/>
    </xf>
    <xf numFmtId="0" fontId="63" fillId="7" borderId="8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11" fillId="0" borderId="3" xfId="0" applyFont="1" applyBorder="1" applyAlignment="1">
      <alignment horizontal="left" vertical="center" wrapText="1" indent="1"/>
    </xf>
    <xf numFmtId="0" fontId="11" fillId="0" borderId="2" xfId="0" applyFont="1" applyBorder="1" applyAlignment="1">
      <alignment horizontal="left" vertical="center" wrapText="1" indent="1"/>
    </xf>
    <xf numFmtId="0" fontId="11" fillId="0" borderId="4" xfId="0" applyFont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8" fillId="0" borderId="41" xfId="0" applyFont="1" applyBorder="1" applyAlignment="1">
      <alignment horizontal="center" vertical="center" readingOrder="1"/>
    </xf>
    <xf numFmtId="0" fontId="28" fillId="0" borderId="42" xfId="0" applyFont="1" applyBorder="1" applyAlignment="1">
      <alignment horizontal="center" vertical="center" readingOrder="1"/>
    </xf>
    <xf numFmtId="0" fontId="28" fillId="0" borderId="43" xfId="0" applyFont="1" applyBorder="1" applyAlignment="1">
      <alignment horizontal="center" vertical="center" readingOrder="1"/>
    </xf>
    <xf numFmtId="0" fontId="36" fillId="0" borderId="8" xfId="0" applyFont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50" fillId="0" borderId="8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51" fillId="0" borderId="8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45" fillId="0" borderId="8" xfId="0" applyFont="1" applyBorder="1" applyAlignment="1">
      <alignment horizontal="center" vertical="center" wrapText="1"/>
    </xf>
    <xf numFmtId="0" fontId="46" fillId="0" borderId="8" xfId="0" applyFont="1" applyBorder="1" applyAlignment="1">
      <alignment horizontal="center" vertical="center" wrapText="1"/>
    </xf>
    <xf numFmtId="0" fontId="47" fillId="0" borderId="8" xfId="0" applyFont="1" applyBorder="1" applyAlignment="1">
      <alignment horizontal="center" vertical="center" wrapText="1"/>
    </xf>
    <xf numFmtId="0" fontId="48" fillId="0" borderId="8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33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33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53" xfId="0" applyFont="1" applyFill="1" applyBorder="1" applyAlignment="1">
      <alignment horizontal="center" vertical="center" wrapText="1"/>
    </xf>
    <xf numFmtId="0" fontId="10" fillId="3" borderId="69" xfId="0" applyFont="1" applyFill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 readingOrder="1"/>
    </xf>
    <xf numFmtId="0" fontId="0" fillId="0" borderId="24" xfId="0" applyBorder="1" applyAlignment="1">
      <alignment horizontal="center" vertical="center" wrapText="1" readingOrder="1"/>
    </xf>
    <xf numFmtId="0" fontId="0" fillId="0" borderId="78" xfId="0" applyBorder="1" applyAlignment="1">
      <alignment horizontal="center" vertical="center" wrapText="1" readingOrder="1"/>
    </xf>
    <xf numFmtId="0" fontId="33" fillId="0" borderId="33" xfId="0" applyFont="1" applyBorder="1" applyAlignment="1">
      <alignment horizontal="center" vertical="center" wrapText="1" readingOrder="1"/>
    </xf>
    <xf numFmtId="0" fontId="31" fillId="0" borderId="33" xfId="0" applyFont="1" applyBorder="1" applyAlignment="1">
      <alignment horizontal="center" vertical="center" wrapText="1" readingOrder="1"/>
    </xf>
    <xf numFmtId="0" fontId="53" fillId="0" borderId="33" xfId="0" applyFont="1" applyBorder="1" applyAlignment="1">
      <alignment horizontal="center" vertical="center" wrapText="1" readingOrder="1"/>
    </xf>
    <xf numFmtId="0" fontId="32" fillId="0" borderId="33" xfId="0" applyFont="1" applyBorder="1" applyAlignment="1">
      <alignment horizontal="center" vertical="center" wrapText="1" readingOrder="1"/>
    </xf>
    <xf numFmtId="0" fontId="0" fillId="0" borderId="65" xfId="0" applyBorder="1" applyAlignment="1">
      <alignment horizontal="center" vertical="center" wrapText="1" readingOrder="1"/>
    </xf>
    <xf numFmtId="0" fontId="0" fillId="0" borderId="23" xfId="0" applyBorder="1" applyAlignment="1">
      <alignment horizontal="center" vertical="center" wrapText="1" readingOrder="1"/>
    </xf>
    <xf numFmtId="0" fontId="0" fillId="0" borderId="32" xfId="0" applyBorder="1" applyAlignment="1">
      <alignment horizontal="center" vertical="center" wrapText="1" readingOrder="1"/>
    </xf>
    <xf numFmtId="0" fontId="6" fillId="0" borderId="33" xfId="0" applyFont="1" applyBorder="1" applyAlignment="1">
      <alignment horizontal="center" vertical="center" wrapText="1" readingOrder="1"/>
    </xf>
    <xf numFmtId="0" fontId="6" fillId="0" borderId="24" xfId="0" applyFont="1" applyBorder="1" applyAlignment="1">
      <alignment horizontal="center" vertical="center" wrapText="1" readingOrder="1"/>
    </xf>
    <xf numFmtId="0" fontId="9" fillId="2" borderId="27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 readingOrder="1"/>
    </xf>
    <xf numFmtId="0" fontId="31" fillId="0" borderId="35" xfId="0" applyFont="1" applyBorder="1" applyAlignment="1">
      <alignment horizontal="center" vertical="center" wrapText="1" readingOrder="1"/>
    </xf>
    <xf numFmtId="0" fontId="13" fillId="0" borderId="35" xfId="0" applyFont="1" applyBorder="1" applyAlignment="1">
      <alignment horizontal="center" vertical="center" wrapText="1" readingOrder="1"/>
    </xf>
    <xf numFmtId="0" fontId="9" fillId="2" borderId="28" xfId="0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33" fillId="0" borderId="35" xfId="0" applyFont="1" applyBorder="1" applyAlignment="1">
      <alignment horizontal="center" vertical="center" wrapText="1" readingOrder="1"/>
    </xf>
    <xf numFmtId="0" fontId="9" fillId="2" borderId="76" xfId="0" applyFont="1" applyFill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 readingOrder="1"/>
    </xf>
    <xf numFmtId="0" fontId="13" fillId="0" borderId="33" xfId="0" applyFont="1" applyBorder="1" applyAlignment="1">
      <alignment horizontal="center" vertical="center" wrapText="1" readingOrder="1"/>
    </xf>
    <xf numFmtId="0" fontId="13" fillId="0" borderId="24" xfId="0" applyFont="1" applyBorder="1" applyAlignment="1">
      <alignment horizontal="center" vertical="center" wrapText="1" readingOrder="1"/>
    </xf>
    <xf numFmtId="0" fontId="6" fillId="9" borderId="33" xfId="0" applyFont="1" applyFill="1" applyBorder="1" applyAlignment="1">
      <alignment horizontal="center" vertical="center" wrapText="1" readingOrder="1"/>
    </xf>
    <xf numFmtId="0" fontId="6" fillId="9" borderId="24" xfId="0" applyFont="1" applyFill="1" applyBorder="1" applyAlignment="1">
      <alignment horizontal="center" vertical="center" wrapText="1" readingOrder="1"/>
    </xf>
    <xf numFmtId="0" fontId="0" fillId="9" borderId="33" xfId="0" applyFill="1" applyBorder="1" applyAlignment="1">
      <alignment horizontal="center" vertical="center" wrapText="1" readingOrder="1"/>
    </xf>
    <xf numFmtId="0" fontId="0" fillId="9" borderId="24" xfId="0" applyFill="1" applyBorder="1" applyAlignment="1">
      <alignment horizontal="center" vertical="center" wrapText="1" readingOrder="1"/>
    </xf>
    <xf numFmtId="0" fontId="0" fillId="0" borderId="77" xfId="0" applyBorder="1" applyAlignment="1">
      <alignment horizontal="center" vertical="center" wrapText="1" readingOrder="1"/>
    </xf>
    <xf numFmtId="0" fontId="13" fillId="0" borderId="78" xfId="0" applyFont="1" applyBorder="1" applyAlignment="1">
      <alignment horizontal="center" vertical="center" wrapText="1" readingOrder="1"/>
    </xf>
    <xf numFmtId="0" fontId="6" fillId="0" borderId="78" xfId="0" applyFont="1" applyBorder="1" applyAlignment="1">
      <alignment horizontal="center" vertical="center" wrapText="1" readingOrder="1"/>
    </xf>
    <xf numFmtId="0" fontId="0" fillId="0" borderId="44" xfId="0" applyBorder="1" applyAlignment="1">
      <alignment horizontal="center" vertical="center" wrapText="1" readingOrder="1"/>
    </xf>
    <xf numFmtId="0" fontId="0" fillId="0" borderId="51" xfId="0" applyBorder="1" applyAlignment="1">
      <alignment horizontal="center" vertical="center" wrapText="1" readingOrder="1"/>
    </xf>
    <xf numFmtId="0" fontId="0" fillId="0" borderId="58" xfId="0" applyBorder="1" applyAlignment="1">
      <alignment horizontal="center" vertical="center" wrapText="1" readingOrder="1"/>
    </xf>
    <xf numFmtId="0" fontId="0" fillId="0" borderId="75" xfId="0" applyBorder="1" applyAlignment="1">
      <alignment horizontal="center" vertical="center" wrapText="1" readingOrder="1"/>
    </xf>
    <xf numFmtId="0" fontId="22" fillId="0" borderId="41" xfId="0" applyFont="1" applyBorder="1" applyAlignment="1">
      <alignment horizontal="center" vertical="center" wrapText="1" readingOrder="1"/>
    </xf>
    <xf numFmtId="0" fontId="22" fillId="0" borderId="43" xfId="0" applyFont="1" applyBorder="1" applyAlignment="1">
      <alignment horizontal="center" vertical="center" wrapText="1" readingOrder="1"/>
    </xf>
    <xf numFmtId="0" fontId="22" fillId="0" borderId="42" xfId="0" applyFont="1" applyBorder="1" applyAlignment="1">
      <alignment horizontal="center" vertical="center" wrapText="1" readingOrder="1"/>
    </xf>
    <xf numFmtId="0" fontId="22" fillId="0" borderId="55" xfId="0" applyFont="1" applyBorder="1" applyAlignment="1">
      <alignment horizontal="center" vertical="center" wrapText="1" readingOrder="1"/>
    </xf>
    <xf numFmtId="0" fontId="25" fillId="0" borderId="41" xfId="0" applyFont="1" applyBorder="1" applyAlignment="1">
      <alignment horizontal="center" vertical="center" wrapText="1" readingOrder="1"/>
    </xf>
    <xf numFmtId="0" fontId="25" fillId="0" borderId="42" xfId="0" applyFont="1" applyBorder="1" applyAlignment="1">
      <alignment horizontal="center" vertical="center" wrapText="1" readingOrder="1"/>
    </xf>
    <xf numFmtId="0" fontId="25" fillId="0" borderId="43" xfId="0" applyFont="1" applyBorder="1" applyAlignment="1">
      <alignment horizontal="center" vertical="center" wrapText="1" readingOrder="1"/>
    </xf>
    <xf numFmtId="0" fontId="25" fillId="0" borderId="41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left" vertical="center" wrapText="1"/>
    </xf>
    <xf numFmtId="0" fontId="0" fillId="0" borderId="51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0" fillId="0" borderId="54" xfId="0" applyBorder="1" applyAlignment="1">
      <alignment horizontal="center" vertical="center" wrapText="1"/>
    </xf>
    <xf numFmtId="0" fontId="22" fillId="0" borderId="61" xfId="0" applyFont="1" applyBorder="1" applyAlignment="1">
      <alignment horizontal="left" vertical="center" wrapText="1" readingOrder="1"/>
    </xf>
    <xf numFmtId="0" fontId="22" fillId="0" borderId="62" xfId="0" applyFont="1" applyBorder="1" applyAlignment="1">
      <alignment horizontal="left" vertical="center" wrapText="1" readingOrder="1"/>
    </xf>
    <xf numFmtId="0" fontId="35" fillId="0" borderId="33" xfId="0" applyFont="1" applyBorder="1" applyAlignment="1">
      <alignment horizontal="center" vertical="center" wrapText="1"/>
    </xf>
    <xf numFmtId="0" fontId="25" fillId="9" borderId="41" xfId="0" applyFont="1" applyFill="1" applyBorder="1" applyAlignment="1">
      <alignment horizontal="center" vertical="center" wrapText="1" readingOrder="1"/>
    </xf>
    <xf numFmtId="0" fontId="25" fillId="9" borderId="42" xfId="0" applyFont="1" applyFill="1" applyBorder="1" applyAlignment="1">
      <alignment horizontal="center" vertical="center" wrapText="1" readingOrder="1"/>
    </xf>
    <xf numFmtId="0" fontId="25" fillId="9" borderId="43" xfId="0" applyFont="1" applyFill="1" applyBorder="1" applyAlignment="1">
      <alignment horizontal="center" vertical="center" wrapText="1" readingOrder="1"/>
    </xf>
    <xf numFmtId="0" fontId="22" fillId="9" borderId="41" xfId="0" applyFont="1" applyFill="1" applyBorder="1" applyAlignment="1">
      <alignment horizontal="center" vertical="center" wrapText="1" readingOrder="1"/>
    </xf>
    <xf numFmtId="0" fontId="22" fillId="9" borderId="42" xfId="0" applyFont="1" applyFill="1" applyBorder="1" applyAlignment="1">
      <alignment horizontal="center" vertical="center" wrapText="1" readingOrder="1"/>
    </xf>
    <xf numFmtId="0" fontId="22" fillId="9" borderId="43" xfId="0" applyFont="1" applyFill="1" applyBorder="1" applyAlignment="1">
      <alignment horizontal="center" vertical="center" wrapText="1" readingOrder="1"/>
    </xf>
    <xf numFmtId="0" fontId="31" fillId="0" borderId="33" xfId="0" applyFont="1" applyBorder="1" applyAlignment="1">
      <alignment horizontal="center" vertical="center" wrapText="1"/>
    </xf>
    <xf numFmtId="0" fontId="33" fillId="0" borderId="33" xfId="0" applyFont="1" applyBorder="1" applyAlignment="1">
      <alignment horizontal="center" vertical="center" wrapText="1"/>
    </xf>
    <xf numFmtId="0" fontId="21" fillId="0" borderId="33" xfId="0" applyFont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2" fillId="0" borderId="63" xfId="0" applyFont="1" applyBorder="1" applyAlignment="1">
      <alignment horizontal="left" vertical="center" wrapText="1" readingOrder="1"/>
    </xf>
    <xf numFmtId="0" fontId="31" fillId="0" borderId="27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39" fillId="0" borderId="41" xfId="0" applyFont="1" applyBorder="1" applyAlignment="1">
      <alignment horizontal="center" vertical="center" wrapText="1" readingOrder="1"/>
    </xf>
    <xf numFmtId="0" fontId="40" fillId="0" borderId="42" xfId="0" applyFont="1" applyBorder="1" applyAlignment="1">
      <alignment horizontal="center" vertical="center" wrapText="1" readingOrder="1"/>
    </xf>
    <xf numFmtId="0" fontId="40" fillId="0" borderId="43" xfId="0" applyFont="1" applyBorder="1" applyAlignment="1">
      <alignment horizontal="center" vertical="center" wrapText="1" readingOrder="1"/>
    </xf>
    <xf numFmtId="0" fontId="0" fillId="0" borderId="44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9" xfId="0" applyBorder="1" applyAlignment="1">
      <alignment horizontal="left" vertical="center" wrapText="1"/>
    </xf>
    <xf numFmtId="0" fontId="33" fillId="0" borderId="27" xfId="0" applyFont="1" applyBorder="1" applyAlignment="1">
      <alignment horizontal="center" vertical="center" wrapText="1"/>
    </xf>
    <xf numFmtId="0" fontId="0" fillId="0" borderId="57" xfId="0" applyBorder="1" applyAlignment="1">
      <alignment horizontal="left" vertical="center" wrapText="1"/>
    </xf>
    <xf numFmtId="0" fontId="41" fillId="0" borderId="55" xfId="0" applyFont="1" applyBorder="1" applyAlignment="1">
      <alignment horizontal="center" vertical="center" wrapText="1" readingOrder="1"/>
    </xf>
    <xf numFmtId="0" fontId="39" fillId="0" borderId="55" xfId="0" applyFont="1" applyBorder="1" applyAlignment="1">
      <alignment horizontal="center" vertical="center" wrapText="1" readingOrder="1"/>
    </xf>
    <xf numFmtId="0" fontId="41" fillId="0" borderId="41" xfId="0" applyFont="1" applyBorder="1" applyAlignment="1">
      <alignment horizontal="center" vertical="center" wrapText="1" readingOrder="1"/>
    </xf>
    <xf numFmtId="0" fontId="39" fillId="0" borderId="41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22" fillId="0" borderId="94" xfId="0" applyFont="1" applyBorder="1" applyAlignment="1">
      <alignment horizontal="center" vertical="center" wrapText="1" readingOrder="1"/>
    </xf>
    <xf numFmtId="0" fontId="22" fillId="0" borderId="95" xfId="0" applyFont="1" applyBorder="1" applyAlignment="1">
      <alignment horizontal="center" vertical="center" wrapText="1" readingOrder="1"/>
    </xf>
    <xf numFmtId="0" fontId="22" fillId="0" borderId="96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9" fillId="0" borderId="43" xfId="0" applyFont="1" applyBorder="1" applyAlignment="1">
      <alignment horizontal="center" vertical="center" wrapText="1" readingOrder="1"/>
    </xf>
    <xf numFmtId="0" fontId="0" fillId="12" borderId="15" xfId="0" applyFill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56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54" fillId="0" borderId="15" xfId="0" applyFont="1" applyBorder="1" applyAlignment="1">
      <alignment horizontal="center" vertical="center"/>
    </xf>
    <xf numFmtId="0" fontId="6" fillId="12" borderId="15" xfId="0" applyFont="1" applyFill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3" fillId="0" borderId="15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colors>
    <mruColors>
      <color rgb="FFDFD0F5"/>
      <color rgb="FFD5F2E0"/>
      <color rgb="FFEDCECE"/>
      <color rgb="FFB0E8E7"/>
      <color rgb="FFE6CF9A"/>
      <color rgb="FFF0EFB6"/>
      <color rgb="FFC8D6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Tổng</a:t>
            </a:r>
            <a:r>
              <a:rPr lang="en-US" baseline="0"/>
              <a:t> quan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2B8-4DDE-9D35-DB254F787A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2B8-4DDE-9D35-DB254F787A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2B8-4DDE-9D35-DB254F787A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'Cover Page'!$O$3:$O$5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Not Executed</c:v>
                </c:pt>
              </c:strCache>
            </c:strRef>
          </c:cat>
          <c:val>
            <c:numRef>
              <c:f>'Cover Page'!$P$3:$P$5</c:f>
              <c:numCache>
                <c:formatCode>General</c:formatCode>
                <c:ptCount val="3"/>
                <c:pt idx="0">
                  <c:v>158</c:v>
                </c:pt>
                <c:pt idx="1">
                  <c:v>14</c:v>
                </c:pt>
                <c:pt idx="2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9-44E6-ABB2-11F5F6841B1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200025</xdr:colOff>
      <xdr:row>1</xdr:row>
      <xdr:rowOff>80962</xdr:rowOff>
    </xdr:from>
    <xdr:to>
      <xdr:col>29</xdr:col>
      <xdr:colOff>485775</xdr:colOff>
      <xdr:row>10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843D0A-F960-4961-88CC-7ADD1FFF7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user1@gmail.com" TargetMode="External"/><Relationship Id="rId1" Type="http://schemas.openxmlformats.org/officeDocument/2006/relationships/hyperlink" Target="mailto:user1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user4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82119-E0DA-4790-8583-C3646763659F}">
  <dimension ref="B1:AL39"/>
  <sheetViews>
    <sheetView topLeftCell="M35" zoomScale="85" zoomScaleNormal="85" workbookViewId="0">
      <selection activeCell="AB30" sqref="AB30:AI39"/>
    </sheetView>
  </sheetViews>
  <sheetFormatPr defaultRowHeight="15"/>
  <cols>
    <col min="1" max="1" width="3.7109375" customWidth="1"/>
    <col min="2" max="2" width="26.85546875" customWidth="1"/>
    <col min="3" max="3" width="23.5703125" customWidth="1"/>
    <col min="4" max="4" width="40.85546875" customWidth="1"/>
    <col min="5" max="5" width="22.7109375" customWidth="1"/>
    <col min="6" max="8" width="0" hidden="1" customWidth="1"/>
    <col min="15" max="15" width="12.42578125" customWidth="1"/>
    <col min="16" max="16" width="11.28515625" customWidth="1"/>
    <col min="25" max="25" width="3.7109375" customWidth="1"/>
    <col min="28" max="28" width="21.5703125" customWidth="1"/>
    <col min="29" max="29" width="11.5703125" customWidth="1"/>
    <col min="30" max="34" width="12.85546875" customWidth="1"/>
    <col min="35" max="35" width="35.7109375" customWidth="1"/>
    <col min="36" max="39" width="12.85546875" customWidth="1"/>
  </cols>
  <sheetData>
    <row r="1" spans="2:25">
      <c r="B1" s="98" t="s">
        <v>0</v>
      </c>
      <c r="C1" s="99"/>
      <c r="D1" s="100"/>
    </row>
    <row r="2" spans="2:25">
      <c r="B2" s="101"/>
      <c r="C2" s="102"/>
      <c r="D2" s="103"/>
    </row>
    <row r="3" spans="2:25">
      <c r="B3" s="101"/>
      <c r="C3" s="104"/>
      <c r="D3" s="103"/>
      <c r="O3" t="s">
        <v>1</v>
      </c>
      <c r="P3">
        <v>158</v>
      </c>
    </row>
    <row r="4" spans="2:25">
      <c r="B4" s="88" t="s">
        <v>2</v>
      </c>
      <c r="C4" s="88"/>
      <c r="D4" s="88"/>
      <c r="O4" t="s">
        <v>3</v>
      </c>
      <c r="P4">
        <v>14</v>
      </c>
    </row>
    <row r="5" spans="2:25">
      <c r="B5" s="88" t="s">
        <v>4</v>
      </c>
      <c r="C5" s="88" t="s">
        <v>5</v>
      </c>
      <c r="D5" s="88" t="s">
        <v>6</v>
      </c>
      <c r="O5" t="s">
        <v>7</v>
      </c>
      <c r="P5">
        <v>107</v>
      </c>
    </row>
    <row r="6" spans="2:25" ht="35.25" customHeight="1">
      <c r="B6" s="84" t="s">
        <v>8</v>
      </c>
      <c r="C6" s="84" t="s">
        <v>9</v>
      </c>
      <c r="D6" s="87" t="s">
        <v>10</v>
      </c>
    </row>
    <row r="7" spans="2:25" ht="35.25" customHeight="1">
      <c r="B7" s="84" t="s">
        <v>11</v>
      </c>
      <c r="C7" s="83" t="s">
        <v>12</v>
      </c>
      <c r="D7" s="87" t="s">
        <v>13</v>
      </c>
    </row>
    <row r="8" spans="2:25" ht="35.25" customHeight="1">
      <c r="B8" s="84" t="s">
        <v>14</v>
      </c>
      <c r="C8" s="83" t="s">
        <v>15</v>
      </c>
      <c r="D8" s="87" t="s">
        <v>16</v>
      </c>
    </row>
    <row r="9" spans="2:25" ht="35.25" customHeight="1">
      <c r="B9" s="84" t="s">
        <v>17</v>
      </c>
      <c r="C9" s="84" t="s">
        <v>18</v>
      </c>
      <c r="D9" s="87" t="s">
        <v>19</v>
      </c>
    </row>
    <row r="13" spans="2:25" ht="15" customHeight="1"/>
    <row r="14" spans="2:25" ht="30.75" customHeight="1">
      <c r="K14" s="105" t="s">
        <v>20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7"/>
    </row>
    <row r="15" spans="2:25" ht="19.5">
      <c r="K15" s="93"/>
      <c r="L15" s="94"/>
      <c r="M15" s="94"/>
      <c r="N15" s="94"/>
      <c r="O15" s="94"/>
      <c r="P15" s="94"/>
      <c r="Q15" s="94"/>
      <c r="R15" s="94"/>
      <c r="S15" s="93"/>
      <c r="T15" s="93"/>
      <c r="U15" s="93"/>
      <c r="V15" s="93"/>
      <c r="W15" s="93"/>
      <c r="X15" s="93"/>
      <c r="Y15" s="93"/>
    </row>
    <row r="16" spans="2:25" ht="51" customHeight="1">
      <c r="K16" s="108" t="s">
        <v>21</v>
      </c>
      <c r="L16" s="109"/>
      <c r="M16" s="109"/>
      <c r="N16" s="109"/>
      <c r="O16" s="109"/>
      <c r="P16" s="109"/>
      <c r="Q16" s="109"/>
      <c r="R16" s="110"/>
      <c r="S16" s="115" t="s">
        <v>22</v>
      </c>
      <c r="T16" s="116"/>
      <c r="U16" s="116"/>
      <c r="V16" s="116"/>
      <c r="W16" s="116"/>
      <c r="X16" s="116"/>
      <c r="Y16" s="117"/>
    </row>
    <row r="17" spans="11:35" ht="26.25" customHeight="1">
      <c r="K17" s="108" t="s">
        <v>23</v>
      </c>
      <c r="L17" s="109"/>
      <c r="M17" s="109"/>
      <c r="N17" s="109"/>
      <c r="O17" s="109"/>
      <c r="P17" s="109"/>
      <c r="Q17" s="109"/>
      <c r="R17" s="111"/>
      <c r="S17" s="112" t="s">
        <v>24</v>
      </c>
      <c r="T17" s="113"/>
      <c r="U17" s="113"/>
      <c r="V17" s="113"/>
      <c r="W17" s="113"/>
      <c r="X17" s="113"/>
      <c r="Y17" s="114"/>
    </row>
    <row r="18" spans="11:35" ht="25.5" customHeight="1">
      <c r="K18" s="108" t="s">
        <v>25</v>
      </c>
      <c r="L18" s="109"/>
      <c r="M18" s="109"/>
      <c r="N18" s="109"/>
      <c r="O18" s="109"/>
      <c r="P18" s="109"/>
      <c r="Q18" s="109"/>
      <c r="R18" s="111"/>
      <c r="S18" s="112">
        <v>4</v>
      </c>
      <c r="T18" s="113"/>
      <c r="U18" s="113"/>
      <c r="V18" s="113"/>
      <c r="W18" s="113"/>
      <c r="X18" s="113"/>
      <c r="Y18" s="114"/>
    </row>
    <row r="19" spans="11:35" ht="19.5">
      <c r="K19" s="91"/>
      <c r="L19" s="92"/>
      <c r="M19" s="92"/>
      <c r="N19" s="92"/>
      <c r="O19" s="92"/>
      <c r="P19" s="92"/>
      <c r="Q19" s="92"/>
      <c r="R19" s="92"/>
      <c r="S19" s="93"/>
      <c r="T19" s="93"/>
      <c r="U19" s="93"/>
      <c r="V19" s="93"/>
      <c r="W19" s="93"/>
      <c r="X19" s="93"/>
      <c r="Y19" s="93"/>
    </row>
    <row r="20" spans="11:35" ht="39" customHeight="1">
      <c r="K20" s="134" t="s">
        <v>26</v>
      </c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6"/>
    </row>
    <row r="21" spans="11:35" ht="23.25" customHeight="1">
      <c r="K21" s="137" t="s">
        <v>27</v>
      </c>
      <c r="L21" s="138"/>
      <c r="M21" s="138"/>
      <c r="N21" s="138"/>
      <c r="O21" s="138"/>
      <c r="P21" s="138"/>
      <c r="Q21" s="138"/>
      <c r="R21" s="139"/>
      <c r="S21" s="140">
        <v>279</v>
      </c>
      <c r="T21" s="141"/>
      <c r="U21" s="141"/>
      <c r="V21" s="141"/>
      <c r="W21" s="141"/>
      <c r="X21" s="141"/>
      <c r="Y21" s="142"/>
    </row>
    <row r="22" spans="11:35" ht="21" customHeight="1">
      <c r="K22" s="143" t="s">
        <v>28</v>
      </c>
      <c r="L22" s="144"/>
      <c r="M22" s="144"/>
      <c r="N22" s="144"/>
      <c r="O22" s="144"/>
      <c r="P22" s="144"/>
      <c r="Q22" s="144"/>
      <c r="R22" s="145"/>
      <c r="S22" s="119" t="s">
        <v>1</v>
      </c>
      <c r="T22" s="120"/>
      <c r="U22" s="120"/>
      <c r="V22" s="120"/>
      <c r="W22" s="125">
        <v>158</v>
      </c>
      <c r="X22" s="126"/>
      <c r="Y22" s="127"/>
    </row>
    <row r="23" spans="11:35" ht="19.5" customHeight="1">
      <c r="K23" s="146"/>
      <c r="L23" s="147"/>
      <c r="M23" s="147"/>
      <c r="N23" s="147"/>
      <c r="O23" s="147"/>
      <c r="P23" s="147"/>
      <c r="Q23" s="147"/>
      <c r="R23" s="148"/>
      <c r="S23" s="119" t="s">
        <v>3</v>
      </c>
      <c r="T23" s="120"/>
      <c r="U23" s="120"/>
      <c r="V23" s="121"/>
      <c r="W23" s="128">
        <v>14</v>
      </c>
      <c r="X23" s="129"/>
      <c r="Y23" s="130"/>
    </row>
    <row r="24" spans="11:35" ht="39.75" customHeight="1">
      <c r="K24" s="149"/>
      <c r="L24" s="150"/>
      <c r="M24" s="150"/>
      <c r="N24" s="150"/>
      <c r="O24" s="150"/>
      <c r="P24" s="150"/>
      <c r="Q24" s="150"/>
      <c r="R24" s="151"/>
      <c r="S24" s="119" t="s">
        <v>29</v>
      </c>
      <c r="T24" s="120"/>
      <c r="U24" s="120"/>
      <c r="V24" s="121"/>
      <c r="W24" s="131">
        <v>172</v>
      </c>
      <c r="X24" s="132"/>
      <c r="Y24" s="133"/>
    </row>
    <row r="25" spans="11:35" ht="24" customHeight="1">
      <c r="K25" s="137" t="s">
        <v>7</v>
      </c>
      <c r="L25" s="138"/>
      <c r="M25" s="138"/>
      <c r="N25" s="138"/>
      <c r="O25" s="138"/>
      <c r="P25" s="138"/>
      <c r="Q25" s="138"/>
      <c r="R25" s="139"/>
      <c r="S25" s="122">
        <v>107</v>
      </c>
      <c r="T25" s="123"/>
      <c r="U25" s="123"/>
      <c r="V25" s="123"/>
      <c r="W25" s="123"/>
      <c r="X25" s="123"/>
      <c r="Y25" s="124"/>
    </row>
    <row r="28" spans="11:35" ht="15" customHeight="1">
      <c r="Q28" s="44"/>
      <c r="R28" s="44"/>
      <c r="S28" s="44"/>
      <c r="T28" s="44"/>
      <c r="U28" s="44"/>
    </row>
    <row r="29" spans="11:35" ht="15.75" customHeight="1"/>
    <row r="30" spans="11:35" ht="33" customHeight="1">
      <c r="AB30" s="118" t="s">
        <v>30</v>
      </c>
      <c r="AC30" s="118" t="s">
        <v>31</v>
      </c>
      <c r="AD30" s="118" t="s">
        <v>32</v>
      </c>
      <c r="AE30" s="118" t="s">
        <v>33</v>
      </c>
      <c r="AF30" s="118"/>
      <c r="AG30" s="118"/>
      <c r="AH30" s="118"/>
      <c r="AI30" s="118" t="s">
        <v>34</v>
      </c>
    </row>
    <row r="31" spans="11:35" ht="15" customHeight="1">
      <c r="AB31" s="118"/>
      <c r="AC31" s="118"/>
      <c r="AD31" s="118"/>
      <c r="AE31" s="118" t="s">
        <v>35</v>
      </c>
      <c r="AF31" s="118"/>
      <c r="AG31" s="118"/>
      <c r="AH31" s="95" t="s">
        <v>36</v>
      </c>
      <c r="AI31" s="118"/>
    </row>
    <row r="32" spans="11:35" ht="31.5">
      <c r="AB32" s="118"/>
      <c r="AC32" s="118"/>
      <c r="AD32" s="118"/>
      <c r="AE32" s="95" t="s">
        <v>1</v>
      </c>
      <c r="AF32" s="95" t="s">
        <v>3</v>
      </c>
      <c r="AG32" s="95" t="s">
        <v>7</v>
      </c>
      <c r="AH32" s="95"/>
      <c r="AI32" s="118"/>
    </row>
    <row r="33" spans="28:38" ht="114" customHeight="1">
      <c r="AB33" s="96" t="s">
        <v>37</v>
      </c>
      <c r="AC33" s="96" t="s">
        <v>38</v>
      </c>
      <c r="AD33" s="96">
        <v>42</v>
      </c>
      <c r="AE33" s="96">
        <v>0</v>
      </c>
      <c r="AF33" s="96">
        <v>0</v>
      </c>
      <c r="AG33" s="96">
        <v>42</v>
      </c>
      <c r="AH33" s="96">
        <v>0</v>
      </c>
      <c r="AI33" s="96" t="s">
        <v>39</v>
      </c>
    </row>
    <row r="34" spans="28:38" ht="114" customHeight="1">
      <c r="AB34" s="96" t="s">
        <v>40</v>
      </c>
      <c r="AC34" s="96" t="s">
        <v>41</v>
      </c>
      <c r="AD34" s="96">
        <v>29</v>
      </c>
      <c r="AE34" s="96">
        <v>0</v>
      </c>
      <c r="AF34" s="96">
        <v>0</v>
      </c>
      <c r="AG34" s="96">
        <v>29</v>
      </c>
      <c r="AH34" s="96">
        <v>0</v>
      </c>
      <c r="AI34" s="96" t="s">
        <v>39</v>
      </c>
      <c r="AL34" t="s">
        <v>42</v>
      </c>
    </row>
    <row r="35" spans="28:38" ht="114" customHeight="1">
      <c r="AB35" s="96" t="s">
        <v>43</v>
      </c>
      <c r="AC35" s="96" t="s">
        <v>38</v>
      </c>
      <c r="AD35" s="96">
        <v>64</v>
      </c>
      <c r="AE35" s="96">
        <v>46</v>
      </c>
      <c r="AF35" s="96">
        <v>1</v>
      </c>
      <c r="AG35" s="96">
        <f>64-47</f>
        <v>17</v>
      </c>
      <c r="AH35" s="96">
        <v>1.5599999999999999E-2</v>
      </c>
      <c r="AI35" s="96" t="s">
        <v>44</v>
      </c>
    </row>
    <row r="36" spans="28:38" ht="114" customHeight="1">
      <c r="AB36" s="96" t="s">
        <v>45</v>
      </c>
      <c r="AC36" s="96" t="s">
        <v>38</v>
      </c>
      <c r="AD36" s="96">
        <v>37</v>
      </c>
      <c r="AE36" s="96">
        <v>35</v>
      </c>
      <c r="AF36" s="96">
        <v>1</v>
      </c>
      <c r="AG36" s="96">
        <v>1</v>
      </c>
      <c r="AH36" s="96">
        <v>2.7E-2</v>
      </c>
      <c r="AI36" s="96" t="s">
        <v>46</v>
      </c>
    </row>
    <row r="37" spans="28:38" ht="114" customHeight="1">
      <c r="AB37" s="96" t="s">
        <v>47</v>
      </c>
      <c r="AC37" s="96" t="s">
        <v>41</v>
      </c>
      <c r="AD37" s="96">
        <v>50</v>
      </c>
      <c r="AE37" s="96">
        <v>42</v>
      </c>
      <c r="AF37" s="96">
        <v>2</v>
      </c>
      <c r="AG37" s="96">
        <v>6</v>
      </c>
      <c r="AH37" s="96">
        <v>0.04</v>
      </c>
      <c r="AI37" s="96" t="s">
        <v>48</v>
      </c>
    </row>
    <row r="38" spans="28:38" ht="114" customHeight="1">
      <c r="AB38" s="96" t="s">
        <v>49</v>
      </c>
      <c r="AC38" s="96" t="s">
        <v>38</v>
      </c>
      <c r="AD38" s="96">
        <v>17</v>
      </c>
      <c r="AE38" s="96">
        <v>13</v>
      </c>
      <c r="AF38" s="96">
        <v>4</v>
      </c>
      <c r="AG38" s="96">
        <v>0</v>
      </c>
      <c r="AH38" s="96">
        <v>0.23530000000000001</v>
      </c>
      <c r="AI38" s="96" t="s">
        <v>50</v>
      </c>
    </row>
    <row r="39" spans="28:38" ht="114" customHeight="1">
      <c r="AB39" s="96" t="s">
        <v>51</v>
      </c>
      <c r="AC39" s="96" t="s">
        <v>38</v>
      </c>
      <c r="AD39" s="96">
        <v>40</v>
      </c>
      <c r="AE39" s="96">
        <v>22</v>
      </c>
      <c r="AF39" s="96">
        <v>6</v>
      </c>
      <c r="AG39" s="96">
        <v>12</v>
      </c>
      <c r="AH39" s="96">
        <v>0.15</v>
      </c>
      <c r="AI39" s="96" t="s">
        <v>52</v>
      </c>
    </row>
  </sheetData>
  <mergeCells count="26">
    <mergeCell ref="K20:Y20"/>
    <mergeCell ref="K21:R21"/>
    <mergeCell ref="K25:R25"/>
    <mergeCell ref="S21:Y21"/>
    <mergeCell ref="K22:R24"/>
    <mergeCell ref="AI30:AI32"/>
    <mergeCell ref="S22:V22"/>
    <mergeCell ref="S23:V23"/>
    <mergeCell ref="S24:V24"/>
    <mergeCell ref="S25:Y25"/>
    <mergeCell ref="W22:Y22"/>
    <mergeCell ref="W23:Y23"/>
    <mergeCell ref="W24:Y24"/>
    <mergeCell ref="AE30:AH30"/>
    <mergeCell ref="AB30:AB32"/>
    <mergeCell ref="AC30:AC32"/>
    <mergeCell ref="AD30:AD32"/>
    <mergeCell ref="AE31:AG31"/>
    <mergeCell ref="B1:D3"/>
    <mergeCell ref="K14:Y14"/>
    <mergeCell ref="K16:R16"/>
    <mergeCell ref="K17:R17"/>
    <mergeCell ref="K18:R18"/>
    <mergeCell ref="S17:Y17"/>
    <mergeCell ref="S18:Y18"/>
    <mergeCell ref="S16:Y16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C18" sqref="C18"/>
    </sheetView>
  </sheetViews>
  <sheetFormatPr defaultRowHeight="15"/>
  <cols>
    <col min="1" max="1" width="4.28515625" bestFit="1" customWidth="1"/>
    <col min="2" max="2" width="13.28515625" customWidth="1"/>
    <col min="3" max="3" width="27.5703125" customWidth="1"/>
    <col min="4" max="4" width="31.5703125" customWidth="1"/>
    <col min="5" max="5" width="44.7109375" customWidth="1"/>
    <col min="6" max="6" width="13.42578125" customWidth="1"/>
    <col min="7" max="7" width="12.42578125" bestFit="1" customWidth="1"/>
    <col min="8" max="8" width="11.42578125" customWidth="1"/>
    <col min="9" max="9" width="73.85546875" customWidth="1"/>
    <col min="10" max="10" width="147.42578125" customWidth="1"/>
  </cols>
  <sheetData>
    <row r="1" spans="1:10">
      <c r="A1" s="152" t="s">
        <v>53</v>
      </c>
      <c r="B1" s="152"/>
      <c r="C1" s="152"/>
      <c r="D1" s="152"/>
      <c r="E1" s="152"/>
      <c r="F1" s="152"/>
      <c r="G1" s="152"/>
      <c r="H1" s="152"/>
    </row>
    <row r="2" spans="1:10" ht="29.25" customHeight="1">
      <c r="A2" s="154" t="s">
        <v>54</v>
      </c>
      <c r="B2" s="155"/>
      <c r="C2" s="156" t="s">
        <v>55</v>
      </c>
      <c r="D2" s="157"/>
      <c r="E2" s="158"/>
    </row>
    <row r="3" spans="1:10" ht="28.5" customHeight="1">
      <c r="A3" s="159" t="s">
        <v>56</v>
      </c>
      <c r="B3" s="160"/>
      <c r="C3" s="8">
        <v>207</v>
      </c>
      <c r="D3" s="1" t="s">
        <v>57</v>
      </c>
      <c r="E3" s="2"/>
    </row>
    <row r="4" spans="1:10">
      <c r="A4" s="161" t="s">
        <v>58</v>
      </c>
      <c r="B4" s="162"/>
      <c r="C4" s="3"/>
      <c r="D4" s="4" t="s">
        <v>59</v>
      </c>
      <c r="E4" s="5"/>
    </row>
    <row r="7" spans="1:10" ht="15.75">
      <c r="A7" s="153" t="s">
        <v>60</v>
      </c>
      <c r="B7" s="153"/>
      <c r="C7" s="6"/>
      <c r="D7" s="6"/>
      <c r="E7" s="6"/>
      <c r="F7" s="6"/>
      <c r="G7" s="7"/>
    </row>
    <row r="8" spans="1:10" s="14" customFormat="1" ht="45.75" customHeight="1">
      <c r="A8" s="10" t="s">
        <v>61</v>
      </c>
      <c r="B8" s="10" t="s">
        <v>62</v>
      </c>
      <c r="C8" s="11" t="s">
        <v>63</v>
      </c>
      <c r="D8" s="10" t="s">
        <v>64</v>
      </c>
      <c r="E8" s="10" t="s">
        <v>65</v>
      </c>
      <c r="F8" s="10" t="s">
        <v>66</v>
      </c>
      <c r="G8" s="10" t="s">
        <v>67</v>
      </c>
      <c r="H8" s="10" t="s">
        <v>68</v>
      </c>
      <c r="I8" s="10" t="s">
        <v>69</v>
      </c>
    </row>
    <row r="9" spans="1:10" s="14" customFormat="1" ht="45.75" customHeight="1">
      <c r="A9" s="12">
        <v>1</v>
      </c>
      <c r="B9" s="13" t="s">
        <v>70</v>
      </c>
      <c r="C9" s="13" t="s">
        <v>71</v>
      </c>
      <c r="D9" s="12" t="s">
        <v>72</v>
      </c>
      <c r="E9" s="12" t="s">
        <v>73</v>
      </c>
      <c r="F9" s="12" t="s">
        <v>74</v>
      </c>
      <c r="G9" s="12" t="s">
        <v>38</v>
      </c>
      <c r="H9" s="12">
        <v>46</v>
      </c>
      <c r="I9" s="12" t="s">
        <v>75</v>
      </c>
      <c r="J9" s="15"/>
    </row>
    <row r="10" spans="1:10" s="14" customFormat="1" ht="45.75" customHeight="1">
      <c r="A10" s="12">
        <v>2</v>
      </c>
      <c r="B10" s="12" t="s">
        <v>76</v>
      </c>
      <c r="C10" s="12" t="s">
        <v>77</v>
      </c>
      <c r="D10" s="12" t="s">
        <v>78</v>
      </c>
      <c r="E10" s="12" t="s">
        <v>79</v>
      </c>
      <c r="F10" s="12" t="s">
        <v>74</v>
      </c>
      <c r="G10" s="12" t="s">
        <v>38</v>
      </c>
      <c r="H10" s="12">
        <v>18</v>
      </c>
      <c r="I10" s="12" t="s">
        <v>80</v>
      </c>
      <c r="J10" s="15"/>
    </row>
    <row r="11" spans="1:10" s="14" customFormat="1" ht="45.75" customHeight="1">
      <c r="A11" s="12">
        <v>3</v>
      </c>
      <c r="B11" s="12" t="s">
        <v>81</v>
      </c>
      <c r="C11" s="12" t="s">
        <v>82</v>
      </c>
      <c r="D11" s="12" t="s">
        <v>83</v>
      </c>
      <c r="E11" s="12" t="s">
        <v>84</v>
      </c>
      <c r="F11" s="12" t="s">
        <v>74</v>
      </c>
      <c r="G11" s="12" t="s">
        <v>38</v>
      </c>
      <c r="H11" s="12">
        <v>15</v>
      </c>
      <c r="I11" s="12" t="s">
        <v>85</v>
      </c>
      <c r="J11" s="15"/>
    </row>
    <row r="12" spans="1:10" s="14" customFormat="1" ht="45.75" customHeight="1">
      <c r="A12" s="12">
        <v>4</v>
      </c>
      <c r="B12" s="12" t="s">
        <v>86</v>
      </c>
      <c r="C12" s="12" t="s">
        <v>87</v>
      </c>
      <c r="D12" s="12" t="s">
        <v>88</v>
      </c>
      <c r="E12" s="12" t="s">
        <v>89</v>
      </c>
      <c r="F12" s="12" t="s">
        <v>74</v>
      </c>
      <c r="G12" s="12" t="s">
        <v>41</v>
      </c>
      <c r="H12" s="12">
        <v>7</v>
      </c>
      <c r="I12" s="12" t="s">
        <v>90</v>
      </c>
      <c r="J12" s="15"/>
    </row>
    <row r="13" spans="1:10" s="14" customFormat="1" ht="45.75" customHeight="1">
      <c r="A13" s="12">
        <v>5</v>
      </c>
      <c r="B13" s="12" t="s">
        <v>91</v>
      </c>
      <c r="C13" s="12" t="s">
        <v>92</v>
      </c>
      <c r="D13" s="12" t="s">
        <v>93</v>
      </c>
      <c r="E13" s="12" t="s">
        <v>94</v>
      </c>
      <c r="F13" s="12" t="s">
        <v>74</v>
      </c>
      <c r="G13" s="12" t="s">
        <v>38</v>
      </c>
      <c r="H13" s="12">
        <v>6</v>
      </c>
      <c r="I13" s="12" t="s">
        <v>95</v>
      </c>
      <c r="J13" s="15"/>
    </row>
    <row r="14" spans="1:10" s="14" customFormat="1" ht="45.75" customHeight="1">
      <c r="A14" s="12">
        <v>6</v>
      </c>
      <c r="B14" s="13" t="s">
        <v>96</v>
      </c>
      <c r="C14" s="13" t="s">
        <v>97</v>
      </c>
      <c r="D14" s="12" t="s">
        <v>98</v>
      </c>
      <c r="E14" s="12" t="s">
        <v>99</v>
      </c>
      <c r="F14" s="12" t="s">
        <v>74</v>
      </c>
      <c r="G14" s="12" t="s">
        <v>38</v>
      </c>
      <c r="H14" s="12">
        <v>35</v>
      </c>
      <c r="I14" s="12" t="s">
        <v>100</v>
      </c>
      <c r="J14" s="15"/>
    </row>
    <row r="15" spans="1:10" s="14" customFormat="1" ht="45.75" customHeight="1">
      <c r="A15" s="12">
        <v>7</v>
      </c>
      <c r="B15" s="12" t="s">
        <v>101</v>
      </c>
      <c r="C15" s="12" t="s">
        <v>102</v>
      </c>
      <c r="D15" s="12" t="s">
        <v>103</v>
      </c>
      <c r="E15" s="12" t="s">
        <v>104</v>
      </c>
      <c r="F15" s="12" t="s">
        <v>74</v>
      </c>
      <c r="G15" s="12" t="s">
        <v>38</v>
      </c>
      <c r="H15" s="12">
        <v>10</v>
      </c>
      <c r="I15" s="12" t="s">
        <v>105</v>
      </c>
      <c r="J15" s="15"/>
    </row>
    <row r="16" spans="1:10" s="14" customFormat="1" ht="45.75" customHeight="1">
      <c r="A16" s="12">
        <v>8</v>
      </c>
      <c r="B16" s="12" t="s">
        <v>106</v>
      </c>
      <c r="C16" s="12" t="s">
        <v>107</v>
      </c>
      <c r="D16" s="12" t="s">
        <v>108</v>
      </c>
      <c r="E16" s="12" t="s">
        <v>109</v>
      </c>
      <c r="F16" s="12" t="s">
        <v>74</v>
      </c>
      <c r="G16" s="12" t="s">
        <v>38</v>
      </c>
      <c r="H16" s="12">
        <v>15</v>
      </c>
      <c r="I16" s="12" t="s">
        <v>110</v>
      </c>
      <c r="J16" s="15"/>
    </row>
    <row r="17" spans="1:10" s="14" customFormat="1" ht="45.75" customHeight="1">
      <c r="A17" s="12">
        <v>9</v>
      </c>
      <c r="B17" s="12" t="s">
        <v>111</v>
      </c>
      <c r="C17" s="12" t="s">
        <v>112</v>
      </c>
      <c r="D17" s="12" t="s">
        <v>113</v>
      </c>
      <c r="E17" s="12" t="s">
        <v>114</v>
      </c>
      <c r="F17" s="12" t="s">
        <v>74</v>
      </c>
      <c r="G17" s="12" t="s">
        <v>115</v>
      </c>
      <c r="H17" s="12">
        <v>10</v>
      </c>
      <c r="I17" s="12" t="s">
        <v>116</v>
      </c>
      <c r="J17" s="15"/>
    </row>
    <row r="18" spans="1:10" s="14" customFormat="1" ht="45.75" customHeight="1">
      <c r="A18" s="12">
        <v>10</v>
      </c>
      <c r="B18" s="13" t="s">
        <v>117</v>
      </c>
      <c r="C18" s="90" t="s">
        <v>118</v>
      </c>
      <c r="D18" s="12" t="s">
        <v>119</v>
      </c>
      <c r="E18" s="12" t="s">
        <v>120</v>
      </c>
      <c r="F18" s="12" t="s">
        <v>74</v>
      </c>
      <c r="G18" s="12" t="s">
        <v>38</v>
      </c>
      <c r="H18" s="12">
        <v>66</v>
      </c>
      <c r="I18" s="12" t="s">
        <v>121</v>
      </c>
      <c r="J18" s="15"/>
    </row>
    <row r="19" spans="1:10" s="14" customFormat="1" ht="45.75" customHeight="1">
      <c r="A19" s="12">
        <v>11</v>
      </c>
      <c r="B19" s="12" t="s">
        <v>122</v>
      </c>
      <c r="C19" s="12" t="s">
        <v>123</v>
      </c>
      <c r="D19" s="12" t="s">
        <v>124</v>
      </c>
      <c r="E19" s="12" t="s">
        <v>125</v>
      </c>
      <c r="F19" s="12" t="s">
        <v>74</v>
      </c>
      <c r="G19" s="12" t="s">
        <v>38</v>
      </c>
      <c r="H19" s="12">
        <v>35</v>
      </c>
      <c r="I19" s="12" t="s">
        <v>126</v>
      </c>
      <c r="J19" s="15"/>
    </row>
    <row r="20" spans="1:10" s="14" customFormat="1" ht="45.75" customHeight="1">
      <c r="A20" s="12">
        <v>12</v>
      </c>
      <c r="B20" s="12" t="s">
        <v>127</v>
      </c>
      <c r="C20" s="12" t="s">
        <v>128</v>
      </c>
      <c r="D20" s="12" t="s">
        <v>129</v>
      </c>
      <c r="E20" s="12" t="s">
        <v>130</v>
      </c>
      <c r="F20" s="12" t="s">
        <v>74</v>
      </c>
      <c r="G20" s="12" t="s">
        <v>38</v>
      </c>
      <c r="H20" s="12">
        <v>15</v>
      </c>
      <c r="I20" s="12" t="s">
        <v>131</v>
      </c>
      <c r="J20" s="15"/>
    </row>
    <row r="21" spans="1:10" s="14" customFormat="1" ht="45.75" customHeight="1">
      <c r="A21" s="12">
        <v>13</v>
      </c>
      <c r="B21" s="12" t="s">
        <v>132</v>
      </c>
      <c r="C21" s="12" t="s">
        <v>133</v>
      </c>
      <c r="D21" s="12" t="s">
        <v>134</v>
      </c>
      <c r="E21" s="12" t="s">
        <v>135</v>
      </c>
      <c r="F21" s="12" t="s">
        <v>74</v>
      </c>
      <c r="G21" s="12" t="s">
        <v>41</v>
      </c>
      <c r="H21" s="12">
        <v>7</v>
      </c>
      <c r="I21" s="12" t="s">
        <v>136</v>
      </c>
      <c r="J21" s="15"/>
    </row>
    <row r="22" spans="1:10" s="14" customFormat="1" ht="45.75" customHeight="1">
      <c r="A22" s="12">
        <v>14</v>
      </c>
      <c r="B22" s="12" t="s">
        <v>137</v>
      </c>
      <c r="C22" s="12" t="s">
        <v>138</v>
      </c>
      <c r="D22" s="12" t="s">
        <v>139</v>
      </c>
      <c r="E22" s="12" t="s">
        <v>140</v>
      </c>
      <c r="F22" s="12" t="s">
        <v>74</v>
      </c>
      <c r="G22" s="12" t="s">
        <v>115</v>
      </c>
      <c r="H22" s="12">
        <v>9</v>
      </c>
      <c r="I22" s="12" t="s">
        <v>141</v>
      </c>
      <c r="J22" s="15"/>
    </row>
    <row r="23" spans="1:10" s="14" customFormat="1" ht="45.75" customHeight="1">
      <c r="A23" s="12">
        <v>15</v>
      </c>
      <c r="B23" s="13" t="s">
        <v>142</v>
      </c>
      <c r="C23" s="13" t="s">
        <v>143</v>
      </c>
      <c r="D23" s="12" t="s">
        <v>144</v>
      </c>
      <c r="E23" s="12" t="s">
        <v>145</v>
      </c>
      <c r="F23" s="12" t="s">
        <v>74</v>
      </c>
      <c r="G23" s="12" t="s">
        <v>38</v>
      </c>
      <c r="H23" s="12">
        <v>37</v>
      </c>
      <c r="I23" s="12" t="s">
        <v>146</v>
      </c>
      <c r="J23" s="15"/>
    </row>
    <row r="24" spans="1:10" s="14" customFormat="1" ht="45.75" customHeight="1">
      <c r="A24" s="12">
        <v>16</v>
      </c>
      <c r="B24" s="12" t="s">
        <v>147</v>
      </c>
      <c r="C24" s="12" t="s">
        <v>148</v>
      </c>
      <c r="D24" s="12" t="s">
        <v>149</v>
      </c>
      <c r="E24" s="12" t="s">
        <v>150</v>
      </c>
      <c r="F24" s="12" t="s">
        <v>74</v>
      </c>
      <c r="G24" s="12" t="s">
        <v>41</v>
      </c>
      <c r="H24" s="12">
        <v>10</v>
      </c>
      <c r="I24" s="12" t="s">
        <v>151</v>
      </c>
      <c r="J24" s="15"/>
    </row>
    <row r="25" spans="1:10" s="14" customFormat="1" ht="45.75" customHeight="1">
      <c r="A25" s="12">
        <v>17</v>
      </c>
      <c r="B25" s="12" t="s">
        <v>152</v>
      </c>
      <c r="C25" s="12" t="s">
        <v>153</v>
      </c>
      <c r="D25" s="12" t="s">
        <v>154</v>
      </c>
      <c r="E25" s="12" t="s">
        <v>155</v>
      </c>
      <c r="F25" s="12" t="s">
        <v>74</v>
      </c>
      <c r="G25" s="12" t="s">
        <v>38</v>
      </c>
      <c r="H25" s="12">
        <v>8</v>
      </c>
      <c r="I25" s="12" t="s">
        <v>156</v>
      </c>
      <c r="J25" s="15"/>
    </row>
    <row r="26" spans="1:10" s="14" customFormat="1" ht="45.75" customHeight="1">
      <c r="A26" s="12">
        <v>18</v>
      </c>
      <c r="B26" s="12" t="s">
        <v>157</v>
      </c>
      <c r="C26" s="12" t="s">
        <v>158</v>
      </c>
      <c r="D26" s="12" t="s">
        <v>159</v>
      </c>
      <c r="E26" s="12" t="s">
        <v>160</v>
      </c>
      <c r="F26" s="12" t="s">
        <v>74</v>
      </c>
      <c r="G26" s="12" t="s">
        <v>38</v>
      </c>
      <c r="H26" s="12">
        <v>19</v>
      </c>
      <c r="I26" s="12" t="s">
        <v>161</v>
      </c>
      <c r="J26" s="15"/>
    </row>
    <row r="27" spans="1:10" s="14" customFormat="1" ht="45.75" customHeight="1">
      <c r="A27" s="12">
        <v>19</v>
      </c>
      <c r="B27" s="13" t="s">
        <v>162</v>
      </c>
      <c r="C27" s="13" t="s">
        <v>163</v>
      </c>
      <c r="D27" s="12" t="s">
        <v>164</v>
      </c>
      <c r="E27" s="12" t="s">
        <v>165</v>
      </c>
      <c r="F27" s="12" t="s">
        <v>74</v>
      </c>
      <c r="G27" s="12" t="s">
        <v>38</v>
      </c>
      <c r="H27" s="12">
        <v>50</v>
      </c>
      <c r="I27" s="12" t="s">
        <v>166</v>
      </c>
      <c r="J27" s="15"/>
    </row>
    <row r="28" spans="1:10" s="14" customFormat="1" ht="45.75" customHeight="1">
      <c r="A28" s="12">
        <v>20</v>
      </c>
      <c r="B28" s="12" t="s">
        <v>167</v>
      </c>
      <c r="C28" s="12" t="s">
        <v>168</v>
      </c>
      <c r="D28" s="12" t="s">
        <v>169</v>
      </c>
      <c r="E28" s="12" t="s">
        <v>170</v>
      </c>
      <c r="F28" s="12" t="s">
        <v>74</v>
      </c>
      <c r="G28" s="12" t="s">
        <v>38</v>
      </c>
      <c r="H28" s="12">
        <v>28</v>
      </c>
      <c r="I28" s="12" t="s">
        <v>171</v>
      </c>
      <c r="J28" s="15"/>
    </row>
    <row r="29" spans="1:10" s="14" customFormat="1" ht="45.75" customHeight="1">
      <c r="A29" s="12">
        <v>21</v>
      </c>
      <c r="B29" s="12" t="s">
        <v>172</v>
      </c>
      <c r="C29" s="12" t="s">
        <v>173</v>
      </c>
      <c r="D29" s="12" t="s">
        <v>174</v>
      </c>
      <c r="E29" s="12" t="s">
        <v>175</v>
      </c>
      <c r="F29" s="12" t="s">
        <v>74</v>
      </c>
      <c r="G29" s="12" t="s">
        <v>41</v>
      </c>
      <c r="H29" s="12">
        <v>22</v>
      </c>
      <c r="I29" s="12" t="s">
        <v>176</v>
      </c>
      <c r="J29" s="15"/>
    </row>
    <row r="30" spans="1:10" s="14" customFormat="1" ht="45.75" customHeight="1">
      <c r="A30" s="12">
        <v>22</v>
      </c>
      <c r="B30" s="13" t="s">
        <v>177</v>
      </c>
      <c r="C30" s="13" t="s">
        <v>178</v>
      </c>
      <c r="D30" s="12" t="s">
        <v>179</v>
      </c>
      <c r="E30" s="12" t="s">
        <v>180</v>
      </c>
      <c r="F30" s="12" t="s">
        <v>74</v>
      </c>
      <c r="G30" s="12" t="s">
        <v>38</v>
      </c>
      <c r="H30" s="12">
        <v>35</v>
      </c>
      <c r="I30" s="12" t="s">
        <v>181</v>
      </c>
      <c r="J30" s="15"/>
    </row>
    <row r="31" spans="1:10" s="14" customFormat="1" ht="45.75" customHeight="1">
      <c r="A31" s="12">
        <v>23</v>
      </c>
      <c r="B31" s="12" t="s">
        <v>182</v>
      </c>
      <c r="C31" s="12" t="s">
        <v>183</v>
      </c>
      <c r="D31" s="12" t="s">
        <v>184</v>
      </c>
      <c r="E31" s="12" t="s">
        <v>185</v>
      </c>
      <c r="F31" s="12" t="s">
        <v>74</v>
      </c>
      <c r="G31" s="12" t="s">
        <v>38</v>
      </c>
      <c r="H31" s="12">
        <v>9</v>
      </c>
      <c r="I31" s="12" t="s">
        <v>186</v>
      </c>
      <c r="J31" s="15"/>
    </row>
    <row r="32" spans="1:10" s="14" customFormat="1" ht="45.75" customHeight="1">
      <c r="A32" s="12">
        <v>24</v>
      </c>
      <c r="B32" s="12" t="s">
        <v>187</v>
      </c>
      <c r="C32" s="12" t="s">
        <v>188</v>
      </c>
      <c r="D32" s="12" t="s">
        <v>189</v>
      </c>
      <c r="E32" s="12" t="s">
        <v>190</v>
      </c>
      <c r="F32" s="12" t="s">
        <v>74</v>
      </c>
      <c r="G32" s="12" t="s">
        <v>38</v>
      </c>
      <c r="H32" s="12">
        <v>12</v>
      </c>
      <c r="I32" s="12" t="s">
        <v>191</v>
      </c>
      <c r="J32" s="15"/>
    </row>
    <row r="33" spans="1:10" s="14" customFormat="1" ht="45.75" customHeight="1">
      <c r="A33" s="12">
        <v>25</v>
      </c>
      <c r="B33" s="12" t="s">
        <v>192</v>
      </c>
      <c r="C33" s="12" t="s">
        <v>193</v>
      </c>
      <c r="D33" s="12" t="s">
        <v>194</v>
      </c>
      <c r="E33" s="12" t="s">
        <v>195</v>
      </c>
      <c r="F33" s="12" t="s">
        <v>74</v>
      </c>
      <c r="G33" s="12" t="s">
        <v>41</v>
      </c>
      <c r="H33" s="12">
        <v>14</v>
      </c>
      <c r="I33" s="12" t="s">
        <v>196</v>
      </c>
      <c r="J33" s="15"/>
    </row>
    <row r="34" spans="1:10" s="14" customFormat="1" ht="45.75" customHeight="1">
      <c r="A34" s="12">
        <v>26</v>
      </c>
      <c r="B34" s="13" t="s">
        <v>197</v>
      </c>
      <c r="C34" s="13" t="s">
        <v>198</v>
      </c>
      <c r="D34" s="12" t="s">
        <v>199</v>
      </c>
      <c r="E34" s="12" t="s">
        <v>200</v>
      </c>
      <c r="F34" s="12" t="s">
        <v>74</v>
      </c>
      <c r="G34" s="12" t="s">
        <v>38</v>
      </c>
      <c r="H34" s="12">
        <v>50</v>
      </c>
      <c r="I34" s="12" t="s">
        <v>201</v>
      </c>
      <c r="J34" s="15"/>
    </row>
    <row r="35" spans="1:10" s="14" customFormat="1" ht="45.75" customHeight="1">
      <c r="A35" s="12">
        <v>27</v>
      </c>
      <c r="B35" s="12" t="s">
        <v>202</v>
      </c>
      <c r="C35" s="12" t="s">
        <v>203</v>
      </c>
      <c r="D35" s="12" t="s">
        <v>204</v>
      </c>
      <c r="E35" s="12" t="s">
        <v>205</v>
      </c>
      <c r="F35" s="12" t="s">
        <v>74</v>
      </c>
      <c r="G35" s="12" t="s">
        <v>38</v>
      </c>
      <c r="H35" s="12">
        <v>12</v>
      </c>
      <c r="I35" s="12" t="s">
        <v>206</v>
      </c>
      <c r="J35" s="15"/>
    </row>
    <row r="36" spans="1:10" s="14" customFormat="1" ht="45.75" customHeight="1">
      <c r="A36" s="12">
        <v>28</v>
      </c>
      <c r="B36" s="12" t="s">
        <v>207</v>
      </c>
      <c r="C36" s="12" t="s">
        <v>208</v>
      </c>
      <c r="D36" s="12" t="s">
        <v>209</v>
      </c>
      <c r="E36" s="12" t="s">
        <v>210</v>
      </c>
      <c r="F36" s="12" t="s">
        <v>74</v>
      </c>
      <c r="G36" s="12" t="s">
        <v>38</v>
      </c>
      <c r="H36" s="12">
        <v>11</v>
      </c>
      <c r="I36" s="12" t="s">
        <v>211</v>
      </c>
      <c r="J36" s="15"/>
    </row>
    <row r="37" spans="1:10" s="16" customFormat="1" ht="45.75" customHeight="1">
      <c r="A37" s="12">
        <v>29</v>
      </c>
      <c r="B37" s="12" t="s">
        <v>212</v>
      </c>
      <c r="C37" s="12" t="s">
        <v>213</v>
      </c>
      <c r="D37" s="12" t="s">
        <v>214</v>
      </c>
      <c r="E37" s="12" t="s">
        <v>215</v>
      </c>
      <c r="F37" s="12" t="s">
        <v>74</v>
      </c>
      <c r="G37" s="12" t="s">
        <v>38</v>
      </c>
      <c r="H37" s="12">
        <v>12</v>
      </c>
      <c r="I37" s="12" t="s">
        <v>216</v>
      </c>
      <c r="J37" s="15"/>
    </row>
    <row r="38" spans="1:10" s="16" customFormat="1" ht="45.75" customHeight="1">
      <c r="A38" s="12">
        <v>30</v>
      </c>
      <c r="B38" s="12" t="s">
        <v>217</v>
      </c>
      <c r="C38" s="12" t="s">
        <v>218</v>
      </c>
      <c r="D38" s="12" t="s">
        <v>219</v>
      </c>
      <c r="E38" s="12" t="s">
        <v>220</v>
      </c>
      <c r="F38" s="12" t="s">
        <v>74</v>
      </c>
      <c r="G38" s="12" t="s">
        <v>38</v>
      </c>
      <c r="H38" s="12">
        <v>18</v>
      </c>
      <c r="I38" s="12" t="s">
        <v>221</v>
      </c>
      <c r="J38" s="15"/>
    </row>
  </sheetData>
  <mergeCells count="6">
    <mergeCell ref="A1:H1"/>
    <mergeCell ref="A7:B7"/>
    <mergeCell ref="A2:B2"/>
    <mergeCell ref="C2:E2"/>
    <mergeCell ref="A3:B3"/>
    <mergeCell ref="A4:B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69D8-5D2C-4221-A805-074EF0E1B9B5}">
  <dimension ref="A1:F73"/>
  <sheetViews>
    <sheetView workbookViewId="0">
      <selection activeCell="F10" sqref="F10"/>
    </sheetView>
  </sheetViews>
  <sheetFormatPr defaultRowHeight="15"/>
  <cols>
    <col min="1" max="1" width="11.28515625" customWidth="1"/>
    <col min="2" max="2" width="15" customWidth="1"/>
    <col min="3" max="3" width="17.7109375" customWidth="1"/>
    <col min="4" max="4" width="13.7109375" customWidth="1"/>
    <col min="5" max="5" width="44" customWidth="1"/>
    <col min="6" max="6" width="41" customWidth="1"/>
  </cols>
  <sheetData>
    <row r="1" spans="1:6" ht="49.5" customHeight="1">
      <c r="A1" s="46" t="s">
        <v>222</v>
      </c>
      <c r="B1" s="46" t="s">
        <v>223</v>
      </c>
      <c r="C1" s="46" t="s">
        <v>224</v>
      </c>
      <c r="D1" s="46" t="s">
        <v>225</v>
      </c>
      <c r="E1" s="46" t="s">
        <v>226</v>
      </c>
      <c r="F1" s="46" t="s">
        <v>227</v>
      </c>
    </row>
    <row r="2" spans="1:6" ht="26.25" customHeight="1">
      <c r="A2" s="45">
        <v>1</v>
      </c>
      <c r="B2" s="163" t="s">
        <v>228</v>
      </c>
      <c r="C2" s="45" t="s">
        <v>76</v>
      </c>
      <c r="D2" s="45" t="s">
        <v>229</v>
      </c>
      <c r="E2" s="45" t="s">
        <v>230</v>
      </c>
      <c r="F2" s="45" t="s">
        <v>231</v>
      </c>
    </row>
    <row r="3" spans="1:6" ht="26.25" customHeight="1">
      <c r="A3" s="45">
        <v>2</v>
      </c>
      <c r="B3" s="164"/>
      <c r="C3" s="45" t="s">
        <v>76</v>
      </c>
      <c r="D3" s="45" t="s">
        <v>232</v>
      </c>
      <c r="E3" s="45" t="s">
        <v>233</v>
      </c>
      <c r="F3" s="45" t="s">
        <v>234</v>
      </c>
    </row>
    <row r="4" spans="1:6" ht="26.25" customHeight="1">
      <c r="A4" s="45">
        <v>3</v>
      </c>
      <c r="B4" s="164"/>
      <c r="C4" s="45" t="s">
        <v>76</v>
      </c>
      <c r="D4" s="45" t="s">
        <v>235</v>
      </c>
      <c r="E4" s="45" t="s">
        <v>236</v>
      </c>
      <c r="F4" s="45" t="s">
        <v>237</v>
      </c>
    </row>
    <row r="5" spans="1:6" ht="26.25" customHeight="1">
      <c r="A5" s="45">
        <v>4</v>
      </c>
      <c r="B5" s="164"/>
      <c r="C5" s="45" t="s">
        <v>81</v>
      </c>
      <c r="D5" s="45" t="s">
        <v>238</v>
      </c>
      <c r="E5" s="45" t="s">
        <v>239</v>
      </c>
      <c r="F5" s="45" t="s">
        <v>240</v>
      </c>
    </row>
    <row r="6" spans="1:6" ht="26.25" customHeight="1">
      <c r="A6" s="45">
        <v>5</v>
      </c>
      <c r="B6" s="164"/>
      <c r="C6" s="45" t="s">
        <v>81</v>
      </c>
      <c r="D6" s="45" t="s">
        <v>241</v>
      </c>
      <c r="E6" s="45" t="s">
        <v>242</v>
      </c>
      <c r="F6" s="45" t="s">
        <v>243</v>
      </c>
    </row>
    <row r="7" spans="1:6" ht="26.25" customHeight="1">
      <c r="A7" s="45">
        <v>6</v>
      </c>
      <c r="B7" s="164"/>
      <c r="C7" s="45" t="s">
        <v>81</v>
      </c>
      <c r="D7" s="45" t="s">
        <v>244</v>
      </c>
      <c r="E7" s="45" t="s">
        <v>245</v>
      </c>
      <c r="F7" s="45" t="s">
        <v>246</v>
      </c>
    </row>
    <row r="8" spans="1:6" ht="26.25" customHeight="1">
      <c r="A8" s="45">
        <v>7</v>
      </c>
      <c r="B8" s="164"/>
      <c r="C8" s="45" t="s">
        <v>86</v>
      </c>
      <c r="D8" s="45" t="s">
        <v>247</v>
      </c>
      <c r="E8" s="45" t="s">
        <v>248</v>
      </c>
      <c r="F8" s="45" t="s">
        <v>249</v>
      </c>
    </row>
    <row r="9" spans="1:6" ht="26.25" customHeight="1">
      <c r="A9" s="45">
        <v>8</v>
      </c>
      <c r="B9" s="164"/>
      <c r="C9" s="45" t="s">
        <v>91</v>
      </c>
      <c r="D9" s="45" t="s">
        <v>250</v>
      </c>
      <c r="E9" s="45" t="s">
        <v>251</v>
      </c>
      <c r="F9" s="45" t="s">
        <v>252</v>
      </c>
    </row>
    <row r="10" spans="1:6" ht="26.25" customHeight="1">
      <c r="A10" s="45">
        <v>9</v>
      </c>
      <c r="B10" s="165"/>
      <c r="C10" s="45" t="s">
        <v>91</v>
      </c>
      <c r="D10" s="45" t="s">
        <v>253</v>
      </c>
      <c r="E10" s="45" t="s">
        <v>254</v>
      </c>
      <c r="F10" s="45" t="s">
        <v>255</v>
      </c>
    </row>
    <row r="11" spans="1:6" ht="26.25" customHeight="1">
      <c r="A11" s="45">
        <v>10</v>
      </c>
      <c r="B11" s="163" t="s">
        <v>256</v>
      </c>
      <c r="C11" s="45" t="s">
        <v>106</v>
      </c>
      <c r="D11" s="45" t="s">
        <v>257</v>
      </c>
      <c r="E11" s="45" t="s">
        <v>258</v>
      </c>
      <c r="F11" s="45" t="s">
        <v>259</v>
      </c>
    </row>
    <row r="12" spans="1:6" ht="26.25" customHeight="1">
      <c r="A12" s="45">
        <v>11</v>
      </c>
      <c r="B12" s="164"/>
      <c r="C12" s="45" t="s">
        <v>106</v>
      </c>
      <c r="D12" s="45" t="s">
        <v>260</v>
      </c>
      <c r="E12" s="45" t="s">
        <v>261</v>
      </c>
      <c r="F12" s="45" t="s">
        <v>262</v>
      </c>
    </row>
    <row r="13" spans="1:6" ht="26.25" customHeight="1">
      <c r="A13" s="45">
        <v>12</v>
      </c>
      <c r="B13" s="164"/>
      <c r="C13" s="45" t="s">
        <v>111</v>
      </c>
      <c r="D13" s="45" t="s">
        <v>263</v>
      </c>
      <c r="E13" s="45" t="s">
        <v>264</v>
      </c>
      <c r="F13" s="45" t="s">
        <v>265</v>
      </c>
    </row>
    <row r="14" spans="1:6" ht="26.25" customHeight="1">
      <c r="A14" s="45">
        <v>13</v>
      </c>
      <c r="B14" s="165"/>
      <c r="C14" s="45" t="s">
        <v>111</v>
      </c>
      <c r="D14" s="45" t="s">
        <v>266</v>
      </c>
      <c r="E14" s="45" t="s">
        <v>267</v>
      </c>
      <c r="F14" s="45" t="s">
        <v>268</v>
      </c>
    </row>
    <row r="15" spans="1:6" ht="26.25" customHeight="1">
      <c r="A15" s="45">
        <v>14</v>
      </c>
      <c r="B15" s="163" t="s">
        <v>269</v>
      </c>
      <c r="C15" s="45" t="s">
        <v>122</v>
      </c>
      <c r="D15" s="45" t="s">
        <v>270</v>
      </c>
      <c r="E15" s="45" t="s">
        <v>271</v>
      </c>
      <c r="F15" s="45" t="s">
        <v>272</v>
      </c>
    </row>
    <row r="16" spans="1:6" ht="26.25" customHeight="1">
      <c r="A16" s="45">
        <v>15</v>
      </c>
      <c r="B16" s="164"/>
      <c r="C16" s="45" t="s">
        <v>122</v>
      </c>
      <c r="D16" s="45" t="s">
        <v>273</v>
      </c>
      <c r="E16" s="45" t="s">
        <v>274</v>
      </c>
      <c r="F16" s="45" t="s">
        <v>275</v>
      </c>
    </row>
    <row r="17" spans="1:6" ht="26.25" customHeight="1">
      <c r="A17" s="45">
        <v>16</v>
      </c>
      <c r="B17" s="164"/>
      <c r="C17" s="45" t="s">
        <v>122</v>
      </c>
      <c r="D17" s="45" t="s">
        <v>276</v>
      </c>
      <c r="E17" s="45" t="s">
        <v>277</v>
      </c>
      <c r="F17" s="45" t="s">
        <v>278</v>
      </c>
    </row>
    <row r="18" spans="1:6" ht="26.25" customHeight="1">
      <c r="A18" s="45">
        <v>17</v>
      </c>
      <c r="B18" s="164"/>
      <c r="C18" s="45" t="s">
        <v>122</v>
      </c>
      <c r="D18" s="45" t="s">
        <v>279</v>
      </c>
      <c r="E18" s="45" t="s">
        <v>280</v>
      </c>
      <c r="F18" s="45" t="s">
        <v>281</v>
      </c>
    </row>
    <row r="19" spans="1:6" ht="26.25" customHeight="1">
      <c r="A19" s="45">
        <v>18</v>
      </c>
      <c r="B19" s="164"/>
      <c r="C19" s="45" t="s">
        <v>122</v>
      </c>
      <c r="D19" s="45" t="s">
        <v>282</v>
      </c>
      <c r="E19" s="45" t="s">
        <v>283</v>
      </c>
      <c r="F19" s="45" t="s">
        <v>284</v>
      </c>
    </row>
    <row r="20" spans="1:6" ht="26.25" customHeight="1">
      <c r="A20" s="45">
        <v>19</v>
      </c>
      <c r="B20" s="164"/>
      <c r="C20" s="45" t="s">
        <v>122</v>
      </c>
      <c r="D20" s="45" t="s">
        <v>285</v>
      </c>
      <c r="E20" s="45" t="s">
        <v>286</v>
      </c>
      <c r="F20" s="45" t="s">
        <v>287</v>
      </c>
    </row>
    <row r="21" spans="1:6" ht="26.25" customHeight="1">
      <c r="A21" s="45">
        <v>20</v>
      </c>
      <c r="B21" s="164"/>
      <c r="C21" s="45" t="s">
        <v>132</v>
      </c>
      <c r="D21" s="45" t="s">
        <v>288</v>
      </c>
      <c r="E21" s="45" t="s">
        <v>289</v>
      </c>
      <c r="F21" s="45" t="s">
        <v>290</v>
      </c>
    </row>
    <row r="22" spans="1:6" ht="26.25" customHeight="1">
      <c r="A22" s="45">
        <v>21</v>
      </c>
      <c r="B22" s="164"/>
      <c r="C22" s="45" t="s">
        <v>132</v>
      </c>
      <c r="D22" s="45" t="s">
        <v>291</v>
      </c>
      <c r="E22" s="45" t="s">
        <v>292</v>
      </c>
      <c r="F22" s="45" t="s">
        <v>293</v>
      </c>
    </row>
    <row r="23" spans="1:6" ht="26.25" customHeight="1">
      <c r="A23" s="45">
        <v>22</v>
      </c>
      <c r="B23" s="164"/>
      <c r="C23" s="45" t="s">
        <v>127</v>
      </c>
      <c r="D23" s="45" t="s">
        <v>294</v>
      </c>
      <c r="E23" s="45" t="s">
        <v>295</v>
      </c>
      <c r="F23" s="45" t="s">
        <v>296</v>
      </c>
    </row>
    <row r="24" spans="1:6" ht="26.25" customHeight="1">
      <c r="A24" s="45">
        <v>23</v>
      </c>
      <c r="B24" s="164"/>
      <c r="C24" s="45" t="s">
        <v>127</v>
      </c>
      <c r="D24" s="45" t="s">
        <v>297</v>
      </c>
      <c r="E24" s="45" t="s">
        <v>298</v>
      </c>
      <c r="F24" s="45" t="s">
        <v>299</v>
      </c>
    </row>
    <row r="25" spans="1:6" ht="26.25" customHeight="1">
      <c r="A25" s="45">
        <v>24</v>
      </c>
      <c r="B25" s="164"/>
      <c r="C25" s="45" t="s">
        <v>127</v>
      </c>
      <c r="D25" s="45" t="s">
        <v>300</v>
      </c>
      <c r="E25" s="45" t="s">
        <v>301</v>
      </c>
      <c r="F25" s="45" t="s">
        <v>302</v>
      </c>
    </row>
    <row r="26" spans="1:6" ht="26.25" customHeight="1">
      <c r="A26" s="45">
        <v>25</v>
      </c>
      <c r="B26" s="164"/>
      <c r="C26" s="45" t="s">
        <v>127</v>
      </c>
      <c r="D26" s="45" t="s">
        <v>303</v>
      </c>
      <c r="E26" s="45" t="s">
        <v>304</v>
      </c>
      <c r="F26" s="45" t="s">
        <v>305</v>
      </c>
    </row>
    <row r="27" spans="1:6" ht="26.25" customHeight="1">
      <c r="A27" s="45">
        <v>26</v>
      </c>
      <c r="B27" s="164"/>
      <c r="C27" s="45" t="s">
        <v>137</v>
      </c>
      <c r="D27" s="45" t="s">
        <v>306</v>
      </c>
      <c r="E27" s="45" t="s">
        <v>307</v>
      </c>
      <c r="F27" s="45" t="s">
        <v>308</v>
      </c>
    </row>
    <row r="28" spans="1:6" ht="26.25" customHeight="1">
      <c r="A28" s="45">
        <v>27</v>
      </c>
      <c r="B28" s="165"/>
      <c r="C28" s="45" t="s">
        <v>137</v>
      </c>
      <c r="D28" s="45" t="s">
        <v>309</v>
      </c>
      <c r="E28" s="45" t="s">
        <v>310</v>
      </c>
      <c r="F28" s="45" t="s">
        <v>311</v>
      </c>
    </row>
    <row r="29" spans="1:6" ht="26.25" customHeight="1">
      <c r="A29" s="45">
        <v>28</v>
      </c>
      <c r="B29" s="163" t="s">
        <v>45</v>
      </c>
      <c r="C29" s="45" t="s">
        <v>152</v>
      </c>
      <c r="D29" s="45" t="s">
        <v>312</v>
      </c>
      <c r="E29" s="45" t="s">
        <v>313</v>
      </c>
      <c r="F29" s="45" t="s">
        <v>314</v>
      </c>
    </row>
    <row r="30" spans="1:6" ht="26.25" customHeight="1">
      <c r="A30" s="45">
        <v>29</v>
      </c>
      <c r="B30" s="164"/>
      <c r="C30" s="45" t="s">
        <v>152</v>
      </c>
      <c r="D30" s="45" t="s">
        <v>315</v>
      </c>
      <c r="E30" s="45" t="s">
        <v>316</v>
      </c>
      <c r="F30" s="45" t="s">
        <v>317</v>
      </c>
    </row>
    <row r="31" spans="1:6" ht="26.25" customHeight="1">
      <c r="A31" s="45">
        <v>30</v>
      </c>
      <c r="B31" s="164"/>
      <c r="C31" s="45" t="s">
        <v>152</v>
      </c>
      <c r="D31" s="45" t="s">
        <v>318</v>
      </c>
      <c r="E31" s="45" t="s">
        <v>319</v>
      </c>
      <c r="F31" s="45" t="s">
        <v>320</v>
      </c>
    </row>
    <row r="32" spans="1:6" ht="26.25" customHeight="1">
      <c r="A32" s="163">
        <v>31</v>
      </c>
      <c r="B32" s="164"/>
      <c r="C32" s="163" t="s">
        <v>152</v>
      </c>
      <c r="D32" s="163" t="s">
        <v>321</v>
      </c>
      <c r="E32" s="163" t="s">
        <v>322</v>
      </c>
      <c r="F32" s="163" t="s">
        <v>323</v>
      </c>
    </row>
    <row r="33" spans="1:6" ht="26.25" customHeight="1">
      <c r="A33" s="164"/>
      <c r="B33" s="164"/>
      <c r="C33" s="164"/>
      <c r="D33" s="164"/>
      <c r="E33" s="164"/>
      <c r="F33" s="164" t="s">
        <v>324</v>
      </c>
    </row>
    <row r="34" spans="1:6" ht="26.25" customHeight="1">
      <c r="A34" s="165"/>
      <c r="B34" s="164"/>
      <c r="C34" s="165"/>
      <c r="D34" s="165"/>
      <c r="E34" s="165"/>
      <c r="F34" s="165" t="s">
        <v>325</v>
      </c>
    </row>
    <row r="35" spans="1:6" ht="26.25" customHeight="1">
      <c r="A35" s="45">
        <v>32</v>
      </c>
      <c r="B35" s="164"/>
      <c r="C35" s="45" t="s">
        <v>157</v>
      </c>
      <c r="D35" s="45" t="s">
        <v>326</v>
      </c>
      <c r="E35" s="45" t="s">
        <v>327</v>
      </c>
      <c r="F35" s="45" t="s">
        <v>328</v>
      </c>
    </row>
    <row r="36" spans="1:6" ht="26.25" customHeight="1">
      <c r="A36" s="45">
        <v>33</v>
      </c>
      <c r="B36" s="164"/>
      <c r="C36" s="45" t="s">
        <v>157</v>
      </c>
      <c r="D36" s="45" t="s">
        <v>329</v>
      </c>
      <c r="E36" s="45" t="s">
        <v>330</v>
      </c>
      <c r="F36" s="45" t="s">
        <v>331</v>
      </c>
    </row>
    <row r="37" spans="1:6" ht="26.25" customHeight="1">
      <c r="A37" s="45">
        <v>34</v>
      </c>
      <c r="B37" s="164"/>
      <c r="C37" s="45" t="s">
        <v>157</v>
      </c>
      <c r="D37" s="45" t="s">
        <v>332</v>
      </c>
      <c r="E37" s="45" t="s">
        <v>333</v>
      </c>
      <c r="F37" s="45" t="s">
        <v>334</v>
      </c>
    </row>
    <row r="38" spans="1:6" ht="26.25" customHeight="1">
      <c r="A38" s="45">
        <v>35</v>
      </c>
      <c r="B38" s="164"/>
      <c r="C38" s="45" t="s">
        <v>157</v>
      </c>
      <c r="D38" s="45" t="s">
        <v>335</v>
      </c>
      <c r="E38" s="45" t="s">
        <v>336</v>
      </c>
      <c r="F38" s="45" t="s">
        <v>337</v>
      </c>
    </row>
    <row r="39" spans="1:6" ht="26.25" customHeight="1">
      <c r="A39" s="45">
        <v>36</v>
      </c>
      <c r="B39" s="164"/>
      <c r="C39" s="45" t="s">
        <v>157</v>
      </c>
      <c r="D39" s="45" t="s">
        <v>338</v>
      </c>
      <c r="E39" s="45" t="s">
        <v>339</v>
      </c>
      <c r="F39" s="45" t="s">
        <v>340</v>
      </c>
    </row>
    <row r="40" spans="1:6" ht="26.25" customHeight="1">
      <c r="A40" s="45">
        <v>37</v>
      </c>
      <c r="B40" s="164"/>
      <c r="C40" s="45" t="s">
        <v>157</v>
      </c>
      <c r="D40" s="45" t="s">
        <v>341</v>
      </c>
      <c r="E40" s="45" t="s">
        <v>342</v>
      </c>
      <c r="F40" s="45" t="s">
        <v>343</v>
      </c>
    </row>
    <row r="41" spans="1:6" ht="26.25" customHeight="1">
      <c r="A41" s="45">
        <v>38</v>
      </c>
      <c r="B41" s="165"/>
      <c r="C41" s="45" t="s">
        <v>157</v>
      </c>
      <c r="D41" s="45" t="s">
        <v>344</v>
      </c>
      <c r="E41" s="45" t="s">
        <v>345</v>
      </c>
      <c r="F41" s="45" t="s">
        <v>346</v>
      </c>
    </row>
    <row r="42" spans="1:6" ht="26.25" customHeight="1">
      <c r="A42" s="45">
        <v>39</v>
      </c>
      <c r="B42" s="163" t="s">
        <v>347</v>
      </c>
      <c r="C42" s="45" t="s">
        <v>167</v>
      </c>
      <c r="D42" s="45" t="s">
        <v>348</v>
      </c>
      <c r="E42" s="45" t="s">
        <v>349</v>
      </c>
      <c r="F42" s="45" t="s">
        <v>350</v>
      </c>
    </row>
    <row r="43" spans="1:6" ht="26.25" customHeight="1">
      <c r="A43" s="45">
        <v>40</v>
      </c>
      <c r="B43" s="164"/>
      <c r="C43" s="45" t="s">
        <v>167</v>
      </c>
      <c r="D43" s="45" t="s">
        <v>351</v>
      </c>
      <c r="E43" s="45" t="s">
        <v>352</v>
      </c>
      <c r="F43" s="45" t="s">
        <v>353</v>
      </c>
    </row>
    <row r="44" spans="1:6" ht="26.25" customHeight="1">
      <c r="A44" s="45">
        <v>41</v>
      </c>
      <c r="B44" s="164"/>
      <c r="C44" s="45" t="s">
        <v>167</v>
      </c>
      <c r="D44" s="45" t="s">
        <v>354</v>
      </c>
      <c r="E44" s="45" t="s">
        <v>355</v>
      </c>
      <c r="F44" s="45" t="s">
        <v>356</v>
      </c>
    </row>
    <row r="45" spans="1:6" ht="26.25" customHeight="1">
      <c r="A45" s="45">
        <v>42</v>
      </c>
      <c r="B45" s="164"/>
      <c r="C45" s="45" t="s">
        <v>167</v>
      </c>
      <c r="D45" s="45" t="s">
        <v>357</v>
      </c>
      <c r="E45" s="45" t="s">
        <v>358</v>
      </c>
      <c r="F45" s="45" t="s">
        <v>359</v>
      </c>
    </row>
    <row r="46" spans="1:6" ht="26.25" customHeight="1">
      <c r="A46" s="45">
        <v>43</v>
      </c>
      <c r="B46" s="164"/>
      <c r="C46" s="45" t="s">
        <v>172</v>
      </c>
      <c r="D46" s="45" t="s">
        <v>360</v>
      </c>
      <c r="E46" s="45" t="s">
        <v>361</v>
      </c>
      <c r="F46" s="45" t="s">
        <v>362</v>
      </c>
    </row>
    <row r="47" spans="1:6" ht="26.25" customHeight="1">
      <c r="A47" s="45">
        <v>44</v>
      </c>
      <c r="B47" s="164"/>
      <c r="C47" s="45" t="s">
        <v>172</v>
      </c>
      <c r="D47" s="45" t="s">
        <v>363</v>
      </c>
      <c r="E47" s="45" t="s">
        <v>364</v>
      </c>
      <c r="F47" s="45" t="s">
        <v>365</v>
      </c>
    </row>
    <row r="48" spans="1:6" ht="26.25" customHeight="1">
      <c r="A48" s="45">
        <v>45</v>
      </c>
      <c r="B48" s="164"/>
      <c r="C48" s="45" t="s">
        <v>172</v>
      </c>
      <c r="D48" s="45" t="s">
        <v>366</v>
      </c>
      <c r="E48" s="45" t="s">
        <v>367</v>
      </c>
      <c r="F48" s="45" t="s">
        <v>368</v>
      </c>
    </row>
    <row r="49" spans="1:6" ht="26.25" customHeight="1">
      <c r="A49" s="45">
        <v>46</v>
      </c>
      <c r="B49" s="165"/>
      <c r="C49" s="45" t="s">
        <v>172</v>
      </c>
      <c r="D49" s="45" t="s">
        <v>369</v>
      </c>
      <c r="E49" s="45" t="s">
        <v>370</v>
      </c>
      <c r="F49" s="45" t="s">
        <v>371</v>
      </c>
    </row>
    <row r="50" spans="1:6" ht="26.25" customHeight="1">
      <c r="A50" s="45">
        <v>47</v>
      </c>
      <c r="B50" s="163" t="s">
        <v>372</v>
      </c>
      <c r="C50" s="45" t="s">
        <v>182</v>
      </c>
      <c r="D50" s="45" t="s">
        <v>373</v>
      </c>
      <c r="E50" s="45" t="s">
        <v>374</v>
      </c>
      <c r="F50" s="45" t="s">
        <v>375</v>
      </c>
    </row>
    <row r="51" spans="1:6" ht="26.25" customHeight="1">
      <c r="A51" s="45">
        <v>48</v>
      </c>
      <c r="B51" s="164"/>
      <c r="C51" s="45" t="s">
        <v>182</v>
      </c>
      <c r="D51" s="45" t="s">
        <v>376</v>
      </c>
      <c r="E51" s="45" t="s">
        <v>377</v>
      </c>
      <c r="F51" s="45" t="s">
        <v>378</v>
      </c>
    </row>
    <row r="52" spans="1:6" ht="26.25" customHeight="1">
      <c r="A52" s="45">
        <v>49</v>
      </c>
      <c r="B52" s="164"/>
      <c r="C52" s="45" t="s">
        <v>182</v>
      </c>
      <c r="D52" s="45" t="s">
        <v>379</v>
      </c>
      <c r="E52" s="45" t="s">
        <v>380</v>
      </c>
      <c r="F52" s="45" t="s">
        <v>381</v>
      </c>
    </row>
    <row r="53" spans="1:6" ht="26.25" customHeight="1">
      <c r="A53" s="45">
        <v>50</v>
      </c>
      <c r="B53" s="164"/>
      <c r="C53" s="45" t="s">
        <v>187</v>
      </c>
      <c r="D53" s="45" t="s">
        <v>382</v>
      </c>
      <c r="E53" s="45" t="s">
        <v>383</v>
      </c>
      <c r="F53" s="45" t="s">
        <v>384</v>
      </c>
    </row>
    <row r="54" spans="1:6" ht="26.25" customHeight="1">
      <c r="A54" s="45">
        <v>51</v>
      </c>
      <c r="B54" s="164"/>
      <c r="C54" s="45" t="s">
        <v>187</v>
      </c>
      <c r="D54" s="45" t="s">
        <v>385</v>
      </c>
      <c r="E54" s="45" t="s">
        <v>386</v>
      </c>
      <c r="F54" s="45" t="s">
        <v>387</v>
      </c>
    </row>
    <row r="55" spans="1:6" ht="26.25" customHeight="1">
      <c r="A55" s="45">
        <v>52</v>
      </c>
      <c r="B55" s="164"/>
      <c r="C55" s="45" t="s">
        <v>187</v>
      </c>
      <c r="D55" s="45" t="s">
        <v>388</v>
      </c>
      <c r="E55" s="45" t="s">
        <v>389</v>
      </c>
      <c r="F55" s="45" t="s">
        <v>390</v>
      </c>
    </row>
    <row r="56" spans="1:6" ht="26.25" customHeight="1">
      <c r="A56" s="45">
        <v>53</v>
      </c>
      <c r="B56" s="164"/>
      <c r="C56" s="45" t="s">
        <v>192</v>
      </c>
      <c r="D56" s="45" t="s">
        <v>391</v>
      </c>
      <c r="E56" s="45" t="s">
        <v>392</v>
      </c>
      <c r="F56" s="45" t="s">
        <v>393</v>
      </c>
    </row>
    <row r="57" spans="1:6" ht="26.25" customHeight="1">
      <c r="A57" s="45">
        <v>54</v>
      </c>
      <c r="B57" s="164"/>
      <c r="C57" s="45" t="s">
        <v>192</v>
      </c>
      <c r="D57" s="45" t="s">
        <v>394</v>
      </c>
      <c r="E57" s="45" t="s">
        <v>395</v>
      </c>
      <c r="F57" s="45" t="s">
        <v>396</v>
      </c>
    </row>
    <row r="58" spans="1:6" ht="26.25" customHeight="1">
      <c r="A58" s="45">
        <v>55</v>
      </c>
      <c r="B58" s="164"/>
      <c r="C58" s="45" t="s">
        <v>192</v>
      </c>
      <c r="D58" s="45" t="s">
        <v>397</v>
      </c>
      <c r="E58" s="45" t="s">
        <v>398</v>
      </c>
      <c r="F58" s="45" t="s">
        <v>399</v>
      </c>
    </row>
    <row r="59" spans="1:6" ht="26.25" customHeight="1">
      <c r="A59" s="45">
        <v>56</v>
      </c>
      <c r="B59" s="164"/>
      <c r="C59" s="45" t="s">
        <v>182</v>
      </c>
      <c r="D59" s="45" t="s">
        <v>400</v>
      </c>
      <c r="E59" s="45" t="s">
        <v>401</v>
      </c>
      <c r="F59" s="45" t="s">
        <v>402</v>
      </c>
    </row>
    <row r="60" spans="1:6" ht="26.25" customHeight="1">
      <c r="A60" s="45">
        <v>57</v>
      </c>
      <c r="B60" s="165"/>
      <c r="C60" s="45" t="s">
        <v>182</v>
      </c>
      <c r="D60" s="45" t="s">
        <v>403</v>
      </c>
      <c r="E60" s="45" t="s">
        <v>404</v>
      </c>
      <c r="F60" s="45" t="s">
        <v>405</v>
      </c>
    </row>
    <row r="61" spans="1:6" ht="26.25" customHeight="1">
      <c r="A61" s="45">
        <v>58</v>
      </c>
      <c r="B61" s="163" t="s">
        <v>406</v>
      </c>
      <c r="C61" s="45" t="s">
        <v>217</v>
      </c>
      <c r="D61" s="45" t="s">
        <v>407</v>
      </c>
      <c r="E61" s="45" t="s">
        <v>408</v>
      </c>
      <c r="F61" s="45" t="s">
        <v>409</v>
      </c>
    </row>
    <row r="62" spans="1:6" ht="26.25" customHeight="1">
      <c r="A62" s="45">
        <v>59</v>
      </c>
      <c r="B62" s="164"/>
      <c r="C62" s="45" t="s">
        <v>202</v>
      </c>
      <c r="D62" s="45" t="s">
        <v>410</v>
      </c>
      <c r="E62" s="45" t="s">
        <v>411</v>
      </c>
      <c r="F62" s="45" t="s">
        <v>412</v>
      </c>
    </row>
    <row r="63" spans="1:6" ht="26.25" customHeight="1">
      <c r="A63" s="45">
        <v>60</v>
      </c>
      <c r="B63" s="164"/>
      <c r="C63" s="45" t="s">
        <v>202</v>
      </c>
      <c r="D63" s="45" t="s">
        <v>413</v>
      </c>
      <c r="E63" s="45" t="s">
        <v>414</v>
      </c>
      <c r="F63" s="45" t="s">
        <v>415</v>
      </c>
    </row>
    <row r="64" spans="1:6" ht="26.25" customHeight="1">
      <c r="A64" s="45">
        <v>61</v>
      </c>
      <c r="B64" s="164"/>
      <c r="C64" s="45" t="s">
        <v>202</v>
      </c>
      <c r="D64" s="45" t="s">
        <v>416</v>
      </c>
      <c r="E64" s="45" t="s">
        <v>417</v>
      </c>
      <c r="F64" s="45" t="s">
        <v>418</v>
      </c>
    </row>
    <row r="65" spans="1:6" ht="26.25" customHeight="1">
      <c r="A65" s="45">
        <v>62</v>
      </c>
      <c r="B65" s="164"/>
      <c r="C65" s="45" t="s">
        <v>207</v>
      </c>
      <c r="D65" s="45" t="s">
        <v>419</v>
      </c>
      <c r="E65" s="45" t="s">
        <v>420</v>
      </c>
      <c r="F65" s="45" t="s">
        <v>421</v>
      </c>
    </row>
    <row r="66" spans="1:6" ht="26.25" customHeight="1">
      <c r="A66" s="45">
        <v>63</v>
      </c>
      <c r="B66" s="164"/>
      <c r="C66" s="45" t="s">
        <v>207</v>
      </c>
      <c r="D66" s="45" t="s">
        <v>422</v>
      </c>
      <c r="E66" s="45" t="s">
        <v>423</v>
      </c>
      <c r="F66" s="45" t="s">
        <v>424</v>
      </c>
    </row>
    <row r="67" spans="1:6" ht="26.25" customHeight="1">
      <c r="A67" s="45">
        <v>64</v>
      </c>
      <c r="B67" s="164"/>
      <c r="C67" s="45" t="s">
        <v>207</v>
      </c>
      <c r="D67" s="45" t="s">
        <v>425</v>
      </c>
      <c r="E67" s="45" t="s">
        <v>426</v>
      </c>
      <c r="F67" s="45" t="s">
        <v>427</v>
      </c>
    </row>
    <row r="68" spans="1:6" ht="26.25" customHeight="1">
      <c r="A68" s="45">
        <v>65</v>
      </c>
      <c r="B68" s="164"/>
      <c r="C68" s="45" t="s">
        <v>212</v>
      </c>
      <c r="D68" s="45" t="s">
        <v>428</v>
      </c>
      <c r="E68" s="45" t="s">
        <v>429</v>
      </c>
      <c r="F68" s="45" t="s">
        <v>430</v>
      </c>
    </row>
    <row r="69" spans="1:6" ht="26.25" customHeight="1">
      <c r="A69" s="45">
        <v>66</v>
      </c>
      <c r="B69" s="164"/>
      <c r="C69" s="45" t="s">
        <v>212</v>
      </c>
      <c r="D69" s="45" t="s">
        <v>431</v>
      </c>
      <c r="E69" s="45" t="s">
        <v>432</v>
      </c>
      <c r="F69" s="45" t="s">
        <v>433</v>
      </c>
    </row>
    <row r="70" spans="1:6" ht="26.25" customHeight="1">
      <c r="A70" s="45">
        <v>67</v>
      </c>
      <c r="B70" s="164"/>
      <c r="C70" s="45" t="s">
        <v>212</v>
      </c>
      <c r="D70" s="45" t="s">
        <v>434</v>
      </c>
      <c r="E70" s="45" t="s">
        <v>435</v>
      </c>
      <c r="F70" s="45" t="s">
        <v>436</v>
      </c>
    </row>
    <row r="71" spans="1:6" ht="26.25" customHeight="1">
      <c r="A71" s="45">
        <v>68</v>
      </c>
      <c r="B71" s="164"/>
      <c r="C71" s="45" t="s">
        <v>217</v>
      </c>
      <c r="D71" s="45" t="s">
        <v>437</v>
      </c>
      <c r="E71" s="45" t="s">
        <v>438</v>
      </c>
      <c r="F71" s="45" t="s">
        <v>439</v>
      </c>
    </row>
    <row r="72" spans="1:6" ht="26.25" customHeight="1">
      <c r="A72" s="45">
        <v>69</v>
      </c>
      <c r="B72" s="164"/>
      <c r="C72" s="45" t="s">
        <v>217</v>
      </c>
      <c r="D72" s="45" t="s">
        <v>440</v>
      </c>
      <c r="E72" s="45" t="s">
        <v>441</v>
      </c>
      <c r="F72" s="45" t="s">
        <v>442</v>
      </c>
    </row>
    <row r="73" spans="1:6" ht="26.25" customHeight="1">
      <c r="A73" s="45">
        <v>70</v>
      </c>
      <c r="B73" s="165"/>
      <c r="C73" s="45" t="s">
        <v>217</v>
      </c>
      <c r="D73" s="45" t="s">
        <v>443</v>
      </c>
      <c r="E73" s="45" t="s">
        <v>444</v>
      </c>
      <c r="F73" s="45" t="s">
        <v>445</v>
      </c>
    </row>
  </sheetData>
  <mergeCells count="12">
    <mergeCell ref="A32:A34"/>
    <mergeCell ref="C32:C34"/>
    <mergeCell ref="D32:D34"/>
    <mergeCell ref="E32:E34"/>
    <mergeCell ref="F32:F34"/>
    <mergeCell ref="B61:B73"/>
    <mergeCell ref="B2:B10"/>
    <mergeCell ref="B11:B14"/>
    <mergeCell ref="B15:B28"/>
    <mergeCell ref="B29:B41"/>
    <mergeCell ref="B42:B49"/>
    <mergeCell ref="B50:B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ED350-7071-4EE0-B781-E952E4BE8BFF}">
  <dimension ref="A1:E12"/>
  <sheetViews>
    <sheetView workbookViewId="0">
      <selection activeCell="C9" sqref="A9:C9"/>
    </sheetView>
  </sheetViews>
  <sheetFormatPr defaultRowHeight="15"/>
  <cols>
    <col min="1" max="2" width="16.5703125" customWidth="1"/>
    <col min="3" max="3" width="81.85546875" customWidth="1"/>
    <col min="4" max="4" width="16.5703125" customWidth="1"/>
    <col min="5" max="6" width="68.7109375" customWidth="1"/>
    <col min="7" max="9" width="16.5703125" customWidth="1"/>
  </cols>
  <sheetData>
    <row r="1" spans="1:5" ht="56.25">
      <c r="A1" s="60" t="s">
        <v>222</v>
      </c>
      <c r="B1" s="60" t="s">
        <v>62</v>
      </c>
      <c r="C1" s="60" t="s">
        <v>65</v>
      </c>
      <c r="D1" s="60" t="s">
        <v>446</v>
      </c>
      <c r="E1" s="60" t="s">
        <v>69</v>
      </c>
    </row>
    <row r="2" spans="1:5" ht="45">
      <c r="A2" s="12">
        <v>1</v>
      </c>
      <c r="B2" s="12" t="s">
        <v>447</v>
      </c>
      <c r="C2" s="12" t="s">
        <v>448</v>
      </c>
      <c r="D2" s="12">
        <v>8</v>
      </c>
      <c r="E2" s="12" t="s">
        <v>449</v>
      </c>
    </row>
    <row r="3" spans="1:5" ht="45">
      <c r="A3" s="12">
        <v>2</v>
      </c>
      <c r="B3" s="12" t="s">
        <v>450</v>
      </c>
      <c r="C3" s="12" t="s">
        <v>451</v>
      </c>
      <c r="D3" s="12">
        <v>6</v>
      </c>
      <c r="E3" s="12" t="s">
        <v>452</v>
      </c>
    </row>
    <row r="4" spans="1:5" ht="60">
      <c r="A4" s="12">
        <v>3</v>
      </c>
      <c r="B4" s="12" t="s">
        <v>453</v>
      </c>
      <c r="C4" s="12" t="s">
        <v>454</v>
      </c>
      <c r="D4" s="12">
        <v>5</v>
      </c>
      <c r="E4" s="12" t="s">
        <v>455</v>
      </c>
    </row>
    <row r="5" spans="1:5" ht="45">
      <c r="A5" s="12">
        <v>4</v>
      </c>
      <c r="B5" s="12" t="s">
        <v>456</v>
      </c>
      <c r="C5" s="12" t="s">
        <v>457</v>
      </c>
      <c r="D5" s="12">
        <v>4</v>
      </c>
      <c r="E5" s="12" t="s">
        <v>458</v>
      </c>
    </row>
    <row r="6" spans="1:5" ht="45">
      <c r="A6" s="12">
        <v>5</v>
      </c>
      <c r="B6" s="12" t="s">
        <v>459</v>
      </c>
      <c r="C6" s="12" t="s">
        <v>460</v>
      </c>
      <c r="D6" s="12">
        <v>6</v>
      </c>
      <c r="E6" s="12" t="s">
        <v>461</v>
      </c>
    </row>
    <row r="7" spans="1:5" ht="60">
      <c r="A7" s="12">
        <v>6</v>
      </c>
      <c r="B7" s="12" t="s">
        <v>462</v>
      </c>
      <c r="C7" s="12" t="s">
        <v>463</v>
      </c>
      <c r="D7" s="12">
        <v>5</v>
      </c>
      <c r="E7" s="12" t="s">
        <v>464</v>
      </c>
    </row>
    <row r="8" spans="1:5" ht="45">
      <c r="A8" s="12">
        <v>7</v>
      </c>
      <c r="B8" s="12" t="s">
        <v>465</v>
      </c>
      <c r="C8" s="12" t="s">
        <v>466</v>
      </c>
      <c r="D8" s="12">
        <v>6</v>
      </c>
      <c r="E8" s="12" t="s">
        <v>467</v>
      </c>
    </row>
    <row r="9" spans="1:5" ht="60">
      <c r="A9" s="12">
        <v>8</v>
      </c>
      <c r="B9" s="12" t="s">
        <v>468</v>
      </c>
      <c r="C9" s="12" t="s">
        <v>469</v>
      </c>
      <c r="D9" s="12">
        <v>4</v>
      </c>
      <c r="E9" s="12" t="s">
        <v>470</v>
      </c>
    </row>
    <row r="10" spans="1:5" ht="60">
      <c r="A10" s="12">
        <v>9</v>
      </c>
      <c r="B10" s="12" t="s">
        <v>471</v>
      </c>
      <c r="C10" s="12" t="s">
        <v>472</v>
      </c>
      <c r="D10" s="12">
        <v>5</v>
      </c>
      <c r="E10" s="12" t="s">
        <v>473</v>
      </c>
    </row>
    <row r="11" spans="1:5" ht="60">
      <c r="A11" s="12">
        <v>10</v>
      </c>
      <c r="B11" s="12" t="s">
        <v>474</v>
      </c>
      <c r="C11" s="12" t="s">
        <v>475</v>
      </c>
      <c r="D11" s="12">
        <v>5</v>
      </c>
      <c r="E11" s="12" t="s">
        <v>476</v>
      </c>
    </row>
    <row r="12" spans="1:5" ht="60">
      <c r="A12" s="12">
        <v>11</v>
      </c>
      <c r="B12" s="12" t="s">
        <v>477</v>
      </c>
      <c r="C12" s="12" t="s">
        <v>478</v>
      </c>
      <c r="D12" s="12">
        <v>6</v>
      </c>
      <c r="E12" s="12" t="s">
        <v>479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C8DA-1760-43DF-8202-0E0DE9805046}">
  <dimension ref="A1:M41"/>
  <sheetViews>
    <sheetView topLeftCell="A34" workbookViewId="0">
      <selection activeCell="K25" sqref="K25:K27"/>
    </sheetView>
  </sheetViews>
  <sheetFormatPr defaultRowHeight="15"/>
  <cols>
    <col min="1" max="1" width="5.5703125" bestFit="1" customWidth="1"/>
    <col min="2" max="2" width="15.7109375" bestFit="1" customWidth="1"/>
    <col min="3" max="3" width="15.42578125" bestFit="1" customWidth="1"/>
    <col min="4" max="4" width="27.42578125" bestFit="1" customWidth="1"/>
    <col min="5" max="5" width="37.28515625" bestFit="1" customWidth="1"/>
    <col min="6" max="6" width="9.5703125" bestFit="1" customWidth="1"/>
    <col min="7" max="7" width="23.7109375" customWidth="1"/>
    <col min="8" max="8" width="16.140625" customWidth="1"/>
    <col min="9" max="9" width="37.140625" customWidth="1"/>
    <col min="10" max="10" width="27.5703125" customWidth="1"/>
    <col min="11" max="11" width="9.5703125" bestFit="1" customWidth="1"/>
    <col min="12" max="12" width="13.140625" bestFit="1" customWidth="1"/>
    <col min="13" max="13" width="7.28515625" bestFit="1" customWidth="1"/>
  </cols>
  <sheetData>
    <row r="1" spans="1:13" ht="54">
      <c r="A1" s="61" t="s">
        <v>222</v>
      </c>
      <c r="B1" s="62" t="s">
        <v>62</v>
      </c>
      <c r="C1" s="62" t="s">
        <v>480</v>
      </c>
      <c r="D1" s="62" t="s">
        <v>481</v>
      </c>
      <c r="E1" s="62" t="s">
        <v>482</v>
      </c>
      <c r="F1" s="63" t="s">
        <v>483</v>
      </c>
      <c r="G1" s="62" t="s">
        <v>484</v>
      </c>
      <c r="H1" s="62" t="s">
        <v>485</v>
      </c>
      <c r="I1" s="62" t="s">
        <v>486</v>
      </c>
      <c r="J1" s="62" t="s">
        <v>487</v>
      </c>
      <c r="K1" s="64" t="s">
        <v>488</v>
      </c>
      <c r="L1" s="64" t="s">
        <v>489</v>
      </c>
      <c r="M1" s="65" t="s">
        <v>69</v>
      </c>
    </row>
    <row r="2" spans="1:13" ht="42.75">
      <c r="A2" s="166">
        <v>1</v>
      </c>
      <c r="B2" s="166" t="s">
        <v>447</v>
      </c>
      <c r="C2" s="166" t="s">
        <v>490</v>
      </c>
      <c r="D2" s="166" t="s">
        <v>491</v>
      </c>
      <c r="E2" s="166" t="s">
        <v>492</v>
      </c>
      <c r="F2" s="66">
        <v>1</v>
      </c>
      <c r="G2" s="66" t="s">
        <v>493</v>
      </c>
      <c r="H2" s="66" t="s">
        <v>494</v>
      </c>
      <c r="I2" s="66" t="s">
        <v>495</v>
      </c>
      <c r="J2" s="166" t="s">
        <v>496</v>
      </c>
      <c r="K2" s="167"/>
      <c r="L2" s="166" t="s">
        <v>498</v>
      </c>
      <c r="M2" s="168" t="str">
        <f>HYPERLINK("D:\RaoVat_AutomationTesting\Screenshots\Fail_TC_INT_01.1.png", "Xem ảnh lỗi")</f>
        <v>Xem ảnh lỗi</v>
      </c>
    </row>
    <row r="3" spans="1:13" ht="42.75">
      <c r="A3" s="166"/>
      <c r="B3" s="166"/>
      <c r="C3" s="166"/>
      <c r="D3" s="166"/>
      <c r="E3" s="166"/>
      <c r="F3" s="66">
        <v>2</v>
      </c>
      <c r="G3" s="66" t="s">
        <v>499</v>
      </c>
      <c r="H3" s="66"/>
      <c r="I3" s="66" t="s">
        <v>500</v>
      </c>
      <c r="J3" s="166"/>
      <c r="K3" s="166"/>
      <c r="L3" s="166"/>
      <c r="M3" s="166"/>
    </row>
    <row r="4" spans="1:13" ht="42.75">
      <c r="A4" s="166"/>
      <c r="B4" s="166"/>
      <c r="C4" s="166"/>
      <c r="D4" s="166"/>
      <c r="E4" s="166"/>
      <c r="F4" s="66">
        <v>3</v>
      </c>
      <c r="G4" s="66" t="s">
        <v>501</v>
      </c>
      <c r="H4" s="66" t="s">
        <v>502</v>
      </c>
      <c r="I4" s="66" t="s">
        <v>503</v>
      </c>
      <c r="J4" s="166"/>
      <c r="K4" s="166"/>
      <c r="L4" s="166"/>
      <c r="M4" s="166"/>
    </row>
    <row r="5" spans="1:13" ht="28.5">
      <c r="A5" s="166">
        <v>2</v>
      </c>
      <c r="B5" s="166" t="s">
        <v>447</v>
      </c>
      <c r="C5" s="166" t="s">
        <v>504</v>
      </c>
      <c r="D5" s="166" t="s">
        <v>505</v>
      </c>
      <c r="E5" s="166" t="s">
        <v>506</v>
      </c>
      <c r="F5" s="66">
        <v>1</v>
      </c>
      <c r="G5" s="66" t="s">
        <v>507</v>
      </c>
      <c r="H5" s="66"/>
      <c r="I5" s="66" t="s">
        <v>508</v>
      </c>
      <c r="J5" s="166" t="s">
        <v>509</v>
      </c>
      <c r="K5" s="167"/>
      <c r="L5" s="166" t="s">
        <v>498</v>
      </c>
      <c r="M5" s="168" t="str">
        <f>HYPERLINK("D:\RaoVat_AutomationTesting\Screenshots\Fail_TC_INT_01.2.png", "Xem ảnh lỗi")</f>
        <v>Xem ảnh lỗi</v>
      </c>
    </row>
    <row r="6" spans="1:13" ht="28.5">
      <c r="A6" s="166"/>
      <c r="B6" s="166"/>
      <c r="C6" s="166"/>
      <c r="D6" s="166"/>
      <c r="E6" s="166"/>
      <c r="F6" s="66">
        <v>2</v>
      </c>
      <c r="G6" s="66" t="s">
        <v>510</v>
      </c>
      <c r="H6" s="66"/>
      <c r="I6" s="66" t="s">
        <v>511</v>
      </c>
      <c r="J6" s="166"/>
      <c r="K6" s="166"/>
      <c r="L6" s="166"/>
      <c r="M6" s="166"/>
    </row>
    <row r="7" spans="1:13" ht="28.5">
      <c r="A7" s="166"/>
      <c r="B7" s="166"/>
      <c r="C7" s="166"/>
      <c r="D7" s="166"/>
      <c r="E7" s="166"/>
      <c r="F7" s="66">
        <v>3</v>
      </c>
      <c r="G7" s="66" t="s">
        <v>512</v>
      </c>
      <c r="H7" s="66" t="s">
        <v>513</v>
      </c>
      <c r="I7" s="66" t="s">
        <v>514</v>
      </c>
      <c r="J7" s="166"/>
      <c r="K7" s="166"/>
      <c r="L7" s="166"/>
      <c r="M7" s="166"/>
    </row>
    <row r="8" spans="1:13" ht="28.5">
      <c r="A8" s="166"/>
      <c r="B8" s="166"/>
      <c r="C8" s="166"/>
      <c r="D8" s="166"/>
      <c r="E8" s="166"/>
      <c r="F8" s="66">
        <v>4</v>
      </c>
      <c r="G8" s="66" t="s">
        <v>515</v>
      </c>
      <c r="H8" s="66"/>
      <c r="I8" s="66" t="s">
        <v>516</v>
      </c>
      <c r="J8" s="166"/>
      <c r="K8" s="166"/>
      <c r="L8" s="166"/>
      <c r="M8" s="166"/>
    </row>
    <row r="9" spans="1:13" ht="42.75">
      <c r="A9" s="166">
        <v>3</v>
      </c>
      <c r="B9" s="166" t="s">
        <v>450</v>
      </c>
      <c r="C9" s="166" t="s">
        <v>517</v>
      </c>
      <c r="D9" s="166" t="s">
        <v>518</v>
      </c>
      <c r="E9" s="166" t="s">
        <v>519</v>
      </c>
      <c r="F9" s="66">
        <v>1</v>
      </c>
      <c r="G9" s="66" t="s">
        <v>520</v>
      </c>
      <c r="H9" s="66" t="s">
        <v>521</v>
      </c>
      <c r="I9" s="66" t="s">
        <v>522</v>
      </c>
      <c r="J9" s="166"/>
      <c r="K9" s="166"/>
      <c r="L9" s="166"/>
      <c r="M9" s="166"/>
    </row>
    <row r="10" spans="1:13" ht="28.5">
      <c r="A10" s="166"/>
      <c r="B10" s="166"/>
      <c r="C10" s="166"/>
      <c r="D10" s="166"/>
      <c r="E10" s="166"/>
      <c r="F10" s="66">
        <v>2</v>
      </c>
      <c r="G10" s="66" t="s">
        <v>523</v>
      </c>
      <c r="H10" s="66"/>
      <c r="I10" s="66" t="s">
        <v>524</v>
      </c>
      <c r="J10" s="166"/>
      <c r="K10" s="166"/>
      <c r="L10" s="166"/>
      <c r="M10" s="166"/>
    </row>
    <row r="11" spans="1:13" ht="42.75">
      <c r="A11" s="166"/>
      <c r="B11" s="166"/>
      <c r="C11" s="166"/>
      <c r="D11" s="166"/>
      <c r="E11" s="166"/>
      <c r="F11" s="66">
        <v>3</v>
      </c>
      <c r="G11" s="66" t="s">
        <v>525</v>
      </c>
      <c r="H11" s="66" t="s">
        <v>526</v>
      </c>
      <c r="I11" s="66" t="s">
        <v>527</v>
      </c>
      <c r="J11" s="166"/>
      <c r="K11" s="166"/>
      <c r="L11" s="166"/>
      <c r="M11" s="166"/>
    </row>
    <row r="12" spans="1:13" ht="28.5">
      <c r="A12" s="166">
        <v>4</v>
      </c>
      <c r="B12" s="166" t="s">
        <v>450</v>
      </c>
      <c r="C12" s="166" t="s">
        <v>528</v>
      </c>
      <c r="D12" s="166" t="s">
        <v>529</v>
      </c>
      <c r="E12" s="166" t="s">
        <v>530</v>
      </c>
      <c r="F12" s="66">
        <v>1</v>
      </c>
      <c r="G12" s="66" t="s">
        <v>531</v>
      </c>
      <c r="H12" s="66" t="s">
        <v>532</v>
      </c>
      <c r="I12" s="66" t="s">
        <v>533</v>
      </c>
      <c r="J12" s="166"/>
      <c r="K12" s="166"/>
      <c r="L12" s="166"/>
      <c r="M12" s="166"/>
    </row>
    <row r="13" spans="1:13" ht="28.5">
      <c r="A13" s="166"/>
      <c r="B13" s="166"/>
      <c r="C13" s="166"/>
      <c r="D13" s="166"/>
      <c r="E13" s="166"/>
      <c r="F13" s="66">
        <v>2</v>
      </c>
      <c r="G13" s="66" t="s">
        <v>534</v>
      </c>
      <c r="H13" s="66" t="s">
        <v>535</v>
      </c>
      <c r="I13" s="66" t="s">
        <v>536</v>
      </c>
      <c r="J13" s="166"/>
      <c r="K13" s="166"/>
      <c r="L13" s="166"/>
      <c r="M13" s="166"/>
    </row>
    <row r="14" spans="1:13" ht="42.75">
      <c r="A14" s="166">
        <v>5</v>
      </c>
      <c r="B14" s="166" t="s">
        <v>453</v>
      </c>
      <c r="C14" s="166" t="s">
        <v>537</v>
      </c>
      <c r="D14" s="166" t="s">
        <v>538</v>
      </c>
      <c r="E14" s="166" t="s">
        <v>539</v>
      </c>
      <c r="F14" s="66">
        <v>1</v>
      </c>
      <c r="G14" s="66" t="s">
        <v>540</v>
      </c>
      <c r="H14" s="66" t="s">
        <v>541</v>
      </c>
      <c r="I14" s="66" t="s">
        <v>542</v>
      </c>
      <c r="J14" s="166" t="s">
        <v>543</v>
      </c>
      <c r="K14" s="170"/>
      <c r="L14" s="166" t="s">
        <v>498</v>
      </c>
      <c r="M14" s="169" t="str">
        <f>HYPERLINK("D:\RaoVat_AutomationTesting\Screenshots\Fail_TC_INT_03.1.png", "Xem ảnh lỗi")</f>
        <v>Xem ảnh lỗi</v>
      </c>
    </row>
    <row r="15" spans="1:13" ht="42.75">
      <c r="A15" s="166"/>
      <c r="B15" s="166"/>
      <c r="C15" s="166"/>
      <c r="D15" s="166"/>
      <c r="E15" s="166"/>
      <c r="F15" s="66">
        <v>2</v>
      </c>
      <c r="G15" s="66" t="s">
        <v>544</v>
      </c>
      <c r="H15" s="66"/>
      <c r="I15" s="66" t="s">
        <v>545</v>
      </c>
      <c r="J15" s="166" t="s">
        <v>546</v>
      </c>
      <c r="K15" s="166"/>
      <c r="L15" s="166"/>
      <c r="M15" s="166"/>
    </row>
    <row r="16" spans="1:13" ht="42.75">
      <c r="A16" s="166">
        <v>6</v>
      </c>
      <c r="B16" s="166" t="s">
        <v>453</v>
      </c>
      <c r="C16" s="166" t="s">
        <v>547</v>
      </c>
      <c r="D16" s="166" t="s">
        <v>548</v>
      </c>
      <c r="E16" s="166" t="s">
        <v>549</v>
      </c>
      <c r="F16" s="66">
        <v>1</v>
      </c>
      <c r="G16" s="66" t="s">
        <v>550</v>
      </c>
      <c r="H16" s="66"/>
      <c r="I16" s="66" t="s">
        <v>551</v>
      </c>
      <c r="J16" s="166"/>
      <c r="K16" s="166"/>
      <c r="L16" s="166"/>
      <c r="M16" s="166"/>
    </row>
    <row r="17" spans="1:13" ht="42.75">
      <c r="A17" s="166"/>
      <c r="B17" s="166"/>
      <c r="C17" s="166"/>
      <c r="D17" s="166"/>
      <c r="E17" s="166"/>
      <c r="F17" s="66">
        <v>2</v>
      </c>
      <c r="G17" s="66" t="s">
        <v>552</v>
      </c>
      <c r="H17" s="66" t="s">
        <v>553</v>
      </c>
      <c r="I17" s="66" t="s">
        <v>554</v>
      </c>
      <c r="J17" s="166"/>
      <c r="K17" s="166"/>
      <c r="L17" s="166"/>
      <c r="M17" s="166"/>
    </row>
    <row r="18" spans="1:13" ht="28.5">
      <c r="A18" s="166">
        <v>7</v>
      </c>
      <c r="B18" s="166" t="s">
        <v>456</v>
      </c>
      <c r="C18" s="166" t="s">
        <v>555</v>
      </c>
      <c r="D18" s="166" t="s">
        <v>556</v>
      </c>
      <c r="E18" s="166" t="s">
        <v>557</v>
      </c>
      <c r="F18" s="66">
        <v>1</v>
      </c>
      <c r="G18" s="66" t="s">
        <v>558</v>
      </c>
      <c r="H18" s="66"/>
      <c r="I18" s="66" t="s">
        <v>559</v>
      </c>
      <c r="J18" s="166" t="s">
        <v>509</v>
      </c>
      <c r="K18" s="173"/>
      <c r="L18" s="166" t="s">
        <v>498</v>
      </c>
      <c r="M18" s="174" t="str">
        <f>HYPERLINK("D:\RaoVat_AutomationTesting\Screenshots\Fail_TC_INT_04.1.png", "Xem ảnh lỗi")</f>
        <v>Xem ảnh lỗi</v>
      </c>
    </row>
    <row r="19" spans="1:13" ht="28.5">
      <c r="A19" s="166"/>
      <c r="B19" s="166"/>
      <c r="C19" s="166"/>
      <c r="D19" s="166"/>
      <c r="E19" s="166"/>
      <c r="F19" s="66">
        <v>2</v>
      </c>
      <c r="G19" s="66" t="s">
        <v>560</v>
      </c>
      <c r="H19" s="66" t="s">
        <v>561</v>
      </c>
      <c r="I19" s="66" t="s">
        <v>562</v>
      </c>
      <c r="J19" s="166"/>
      <c r="K19" s="166"/>
      <c r="L19" s="166"/>
      <c r="M19" s="166"/>
    </row>
    <row r="20" spans="1:13" ht="28.5">
      <c r="A20" s="166"/>
      <c r="B20" s="166"/>
      <c r="C20" s="166"/>
      <c r="D20" s="166"/>
      <c r="E20" s="166"/>
      <c r="F20" s="66">
        <v>3</v>
      </c>
      <c r="G20" s="66" t="s">
        <v>563</v>
      </c>
      <c r="H20" s="66"/>
      <c r="I20" s="66" t="s">
        <v>564</v>
      </c>
      <c r="J20" s="166" t="s">
        <v>565</v>
      </c>
      <c r="K20" s="166"/>
      <c r="L20" s="166"/>
      <c r="M20" s="166"/>
    </row>
    <row r="21" spans="1:13" ht="28.5">
      <c r="A21" s="166">
        <v>8</v>
      </c>
      <c r="B21" s="166" t="s">
        <v>459</v>
      </c>
      <c r="C21" s="166" t="s">
        <v>566</v>
      </c>
      <c r="D21" s="166" t="s">
        <v>567</v>
      </c>
      <c r="E21" s="166" t="s">
        <v>568</v>
      </c>
      <c r="F21" s="66">
        <v>1</v>
      </c>
      <c r="G21" s="66" t="s">
        <v>569</v>
      </c>
      <c r="H21" s="66"/>
      <c r="I21" s="66" t="s">
        <v>570</v>
      </c>
      <c r="J21" s="166" t="s">
        <v>571</v>
      </c>
      <c r="K21" s="175"/>
      <c r="L21" s="166" t="s">
        <v>498</v>
      </c>
      <c r="M21" s="176" t="str">
        <f>HYPERLINK("D:\RaoVat_AutomationTesting\Screenshots\Fail_TC_INT_05.1.png", "Xem ảnh lỗi")</f>
        <v>Xem ảnh lỗi</v>
      </c>
    </row>
    <row r="22" spans="1:13" ht="28.5">
      <c r="A22" s="166"/>
      <c r="B22" s="166"/>
      <c r="C22" s="166"/>
      <c r="D22" s="166"/>
      <c r="E22" s="166"/>
      <c r="F22" s="66">
        <v>2</v>
      </c>
      <c r="G22" s="66" t="s">
        <v>572</v>
      </c>
      <c r="H22" s="66" t="s">
        <v>573</v>
      </c>
      <c r="I22" s="66" t="s">
        <v>574</v>
      </c>
      <c r="J22" s="166"/>
      <c r="K22" s="166"/>
      <c r="L22" s="166"/>
      <c r="M22" s="166"/>
    </row>
    <row r="23" spans="1:13" ht="28.5">
      <c r="A23" s="166"/>
      <c r="B23" s="166"/>
      <c r="C23" s="166"/>
      <c r="D23" s="166"/>
      <c r="E23" s="166"/>
      <c r="F23" s="66">
        <v>3</v>
      </c>
      <c r="G23" s="66" t="s">
        <v>575</v>
      </c>
      <c r="H23" s="66"/>
      <c r="I23" s="66" t="s">
        <v>576</v>
      </c>
      <c r="J23" s="166"/>
      <c r="K23" s="166"/>
      <c r="L23" s="166"/>
      <c r="M23" s="166"/>
    </row>
    <row r="24" spans="1:13" ht="28.5">
      <c r="A24" s="166"/>
      <c r="B24" s="166"/>
      <c r="C24" s="166"/>
      <c r="D24" s="166"/>
      <c r="E24" s="166"/>
      <c r="F24" s="66">
        <v>4</v>
      </c>
      <c r="G24" s="66" t="s">
        <v>577</v>
      </c>
      <c r="H24" s="66"/>
      <c r="I24" s="66" t="s">
        <v>578</v>
      </c>
      <c r="J24" s="166"/>
      <c r="K24" s="166"/>
      <c r="L24" s="166"/>
      <c r="M24" s="166"/>
    </row>
    <row r="25" spans="1:13" ht="42.75">
      <c r="A25" s="166">
        <v>9</v>
      </c>
      <c r="B25" s="166" t="s">
        <v>462</v>
      </c>
      <c r="C25" s="166" t="s">
        <v>579</v>
      </c>
      <c r="D25" s="166" t="s">
        <v>580</v>
      </c>
      <c r="E25" s="166" t="s">
        <v>581</v>
      </c>
      <c r="F25" s="66">
        <v>1</v>
      </c>
      <c r="G25" s="66" t="s">
        <v>582</v>
      </c>
      <c r="H25" s="66" t="s">
        <v>583</v>
      </c>
      <c r="I25" s="66" t="s">
        <v>584</v>
      </c>
      <c r="J25" s="166" t="s">
        <v>585</v>
      </c>
      <c r="K25" s="171"/>
      <c r="L25" s="166" t="s">
        <v>498</v>
      </c>
      <c r="M25" s="172" t="str">
        <f>HYPERLINK("D:\RaoVat_AutomationTesting\Screenshots\Fail_TC_INT_06.1.png", "Xem ảnh lỗi")</f>
        <v>Xem ảnh lỗi</v>
      </c>
    </row>
    <row r="26" spans="1:13" ht="28.5">
      <c r="A26" s="166"/>
      <c r="B26" s="166"/>
      <c r="C26" s="166"/>
      <c r="D26" s="166"/>
      <c r="E26" s="166"/>
      <c r="F26" s="66">
        <v>2</v>
      </c>
      <c r="G26" s="66" t="s">
        <v>586</v>
      </c>
      <c r="H26" s="66" t="s">
        <v>587</v>
      </c>
      <c r="I26" s="66" t="s">
        <v>588</v>
      </c>
      <c r="J26" s="166"/>
      <c r="K26" s="166"/>
      <c r="L26" s="166"/>
      <c r="M26" s="166"/>
    </row>
    <row r="27" spans="1:13" ht="28.5">
      <c r="A27" s="166"/>
      <c r="B27" s="166"/>
      <c r="C27" s="166"/>
      <c r="D27" s="166"/>
      <c r="E27" s="166"/>
      <c r="F27" s="66">
        <v>3</v>
      </c>
      <c r="G27" s="66" t="s">
        <v>589</v>
      </c>
      <c r="H27" s="66"/>
      <c r="I27" s="66" t="s">
        <v>590</v>
      </c>
      <c r="J27" s="166"/>
      <c r="K27" s="166"/>
      <c r="L27" s="166"/>
      <c r="M27" s="166"/>
    </row>
    <row r="28" spans="1:13" ht="28.5">
      <c r="A28" s="166">
        <v>10</v>
      </c>
      <c r="B28" s="166" t="s">
        <v>465</v>
      </c>
      <c r="C28" s="166" t="s">
        <v>591</v>
      </c>
      <c r="D28" s="166" t="s">
        <v>592</v>
      </c>
      <c r="E28" s="166" t="s">
        <v>593</v>
      </c>
      <c r="F28" s="66">
        <v>1</v>
      </c>
      <c r="G28" s="66" t="s">
        <v>594</v>
      </c>
      <c r="H28" s="66" t="s">
        <v>595</v>
      </c>
      <c r="I28" s="66" t="s">
        <v>596</v>
      </c>
      <c r="J28" s="166"/>
      <c r="K28" s="166"/>
      <c r="L28" s="166"/>
      <c r="M28" s="166"/>
    </row>
    <row r="29" spans="1:13" ht="28.5">
      <c r="A29" s="166"/>
      <c r="B29" s="166"/>
      <c r="C29" s="166"/>
      <c r="D29" s="166"/>
      <c r="E29" s="166"/>
      <c r="F29" s="66">
        <v>2</v>
      </c>
      <c r="G29" s="66" t="s">
        <v>597</v>
      </c>
      <c r="H29" s="66" t="s">
        <v>561</v>
      </c>
      <c r="I29" s="66" t="s">
        <v>598</v>
      </c>
      <c r="J29" s="166"/>
      <c r="K29" s="166"/>
      <c r="L29" s="166"/>
      <c r="M29" s="166"/>
    </row>
    <row r="30" spans="1:13" ht="28.5">
      <c r="A30" s="166"/>
      <c r="B30" s="166"/>
      <c r="C30" s="166"/>
      <c r="D30" s="166"/>
      <c r="E30" s="166"/>
      <c r="F30" s="66">
        <v>3</v>
      </c>
      <c r="G30" s="66" t="s">
        <v>599</v>
      </c>
      <c r="H30" s="66"/>
      <c r="I30" s="66" t="s">
        <v>600</v>
      </c>
      <c r="J30" s="166"/>
      <c r="K30" s="166"/>
      <c r="L30" s="166"/>
      <c r="M30" s="166"/>
    </row>
    <row r="31" spans="1:13" ht="28.5">
      <c r="A31" s="166">
        <v>11</v>
      </c>
      <c r="B31" s="166" t="s">
        <v>468</v>
      </c>
      <c r="C31" s="166" t="s">
        <v>601</v>
      </c>
      <c r="D31" s="166" t="s">
        <v>602</v>
      </c>
      <c r="E31" s="166" t="s">
        <v>603</v>
      </c>
      <c r="F31" s="66">
        <v>1</v>
      </c>
      <c r="G31" s="66" t="s">
        <v>604</v>
      </c>
      <c r="H31" s="66" t="s">
        <v>605</v>
      </c>
      <c r="I31" s="66" t="s">
        <v>606</v>
      </c>
      <c r="J31" s="166"/>
      <c r="K31" s="166"/>
      <c r="L31" s="166"/>
      <c r="M31" s="166"/>
    </row>
    <row r="32" spans="1:13" ht="28.5">
      <c r="A32" s="166"/>
      <c r="B32" s="166"/>
      <c r="C32" s="166"/>
      <c r="D32" s="166"/>
      <c r="E32" s="166"/>
      <c r="F32" s="66">
        <v>2</v>
      </c>
      <c r="G32" s="66" t="s">
        <v>607</v>
      </c>
      <c r="H32" s="66"/>
      <c r="I32" s="66" t="s">
        <v>608</v>
      </c>
      <c r="J32" s="166"/>
      <c r="K32" s="166"/>
      <c r="L32" s="166"/>
      <c r="M32" s="166"/>
    </row>
    <row r="33" spans="1:13" ht="28.5">
      <c r="A33" s="166"/>
      <c r="B33" s="166"/>
      <c r="C33" s="166"/>
      <c r="D33" s="166"/>
      <c r="E33" s="166"/>
      <c r="F33" s="66">
        <v>3</v>
      </c>
      <c r="G33" s="66" t="s">
        <v>609</v>
      </c>
      <c r="H33" s="66" t="s">
        <v>610</v>
      </c>
      <c r="I33" s="66" t="s">
        <v>611</v>
      </c>
      <c r="J33" s="166"/>
      <c r="K33" s="166"/>
      <c r="L33" s="166"/>
      <c r="M33" s="166"/>
    </row>
    <row r="34" spans="1:13" ht="28.5">
      <c r="A34" s="166">
        <v>12</v>
      </c>
      <c r="B34" s="166" t="s">
        <v>471</v>
      </c>
      <c r="C34" s="166" t="s">
        <v>612</v>
      </c>
      <c r="D34" s="166" t="s">
        <v>613</v>
      </c>
      <c r="E34" s="166" t="s">
        <v>614</v>
      </c>
      <c r="F34" s="66">
        <v>1</v>
      </c>
      <c r="G34" s="66" t="s">
        <v>615</v>
      </c>
      <c r="H34" s="66"/>
      <c r="I34" s="66" t="s">
        <v>616</v>
      </c>
      <c r="J34" s="166"/>
      <c r="K34" s="166"/>
      <c r="L34" s="166"/>
      <c r="M34" s="166"/>
    </row>
    <row r="35" spans="1:13" ht="28.5">
      <c r="A35" s="166"/>
      <c r="B35" s="166"/>
      <c r="C35" s="166"/>
      <c r="D35" s="166"/>
      <c r="E35" s="166"/>
      <c r="F35" s="66">
        <v>2</v>
      </c>
      <c r="G35" s="66" t="s">
        <v>617</v>
      </c>
      <c r="H35" s="66"/>
      <c r="I35" s="66" t="s">
        <v>618</v>
      </c>
      <c r="J35" s="166"/>
      <c r="K35" s="166"/>
      <c r="L35" s="166"/>
      <c r="M35" s="166"/>
    </row>
    <row r="36" spans="1:13" ht="28.5">
      <c r="A36" s="166">
        <v>13</v>
      </c>
      <c r="B36" s="166" t="s">
        <v>474</v>
      </c>
      <c r="C36" s="166" t="s">
        <v>619</v>
      </c>
      <c r="D36" s="166" t="s">
        <v>620</v>
      </c>
      <c r="E36" s="166" t="s">
        <v>621</v>
      </c>
      <c r="F36" s="66">
        <v>1</v>
      </c>
      <c r="G36" s="66" t="s">
        <v>622</v>
      </c>
      <c r="H36" s="66" t="s">
        <v>623</v>
      </c>
      <c r="I36" s="66" t="s">
        <v>624</v>
      </c>
      <c r="J36" s="166"/>
      <c r="K36" s="166"/>
      <c r="L36" s="166"/>
      <c r="M36" s="166"/>
    </row>
    <row r="37" spans="1:13" ht="42.75">
      <c r="A37" s="166"/>
      <c r="B37" s="166"/>
      <c r="C37" s="166"/>
      <c r="D37" s="166"/>
      <c r="E37" s="166"/>
      <c r="F37" s="66">
        <v>2</v>
      </c>
      <c r="G37" s="66" t="s">
        <v>625</v>
      </c>
      <c r="H37" s="66"/>
      <c r="I37" s="66" t="s">
        <v>626</v>
      </c>
      <c r="J37" s="166" t="s">
        <v>546</v>
      </c>
      <c r="K37" s="166"/>
      <c r="L37" s="166"/>
      <c r="M37" s="166"/>
    </row>
    <row r="38" spans="1:13" ht="42.75">
      <c r="A38" s="166"/>
      <c r="B38" s="166"/>
      <c r="C38" s="166"/>
      <c r="D38" s="166"/>
      <c r="E38" s="166"/>
      <c r="F38" s="66">
        <v>3</v>
      </c>
      <c r="G38" s="66" t="s">
        <v>627</v>
      </c>
      <c r="H38" s="66"/>
      <c r="I38" s="66" t="s">
        <v>628</v>
      </c>
      <c r="J38" s="166"/>
      <c r="K38" s="166"/>
      <c r="L38" s="166"/>
      <c r="M38" s="166"/>
    </row>
    <row r="39" spans="1:13" ht="42.75">
      <c r="A39" s="166">
        <v>14</v>
      </c>
      <c r="B39" s="166" t="s">
        <v>477</v>
      </c>
      <c r="C39" s="166" t="s">
        <v>629</v>
      </c>
      <c r="D39" s="166" t="s">
        <v>630</v>
      </c>
      <c r="E39" s="166" t="s">
        <v>631</v>
      </c>
      <c r="F39" s="66">
        <v>1</v>
      </c>
      <c r="G39" s="66" t="s">
        <v>632</v>
      </c>
      <c r="H39" s="66" t="s">
        <v>633</v>
      </c>
      <c r="I39" s="66" t="s">
        <v>634</v>
      </c>
      <c r="J39" s="166"/>
      <c r="K39" s="166"/>
      <c r="L39" s="166"/>
      <c r="M39" s="166"/>
    </row>
    <row r="40" spans="1:13" ht="28.5">
      <c r="A40" s="166"/>
      <c r="B40" s="166"/>
      <c r="C40" s="166"/>
      <c r="D40" s="166"/>
      <c r="E40" s="166"/>
      <c r="F40" s="66">
        <v>2</v>
      </c>
      <c r="G40" s="66" t="s">
        <v>635</v>
      </c>
      <c r="H40" s="66"/>
      <c r="I40" s="66" t="s">
        <v>636</v>
      </c>
      <c r="J40" s="166"/>
      <c r="K40" s="166"/>
      <c r="L40" s="166"/>
      <c r="M40" s="166"/>
    </row>
    <row r="41" spans="1:13" ht="28.5">
      <c r="A41" s="166"/>
      <c r="B41" s="166"/>
      <c r="C41" s="166"/>
      <c r="D41" s="166"/>
      <c r="E41" s="166"/>
      <c r="F41" s="66">
        <v>3</v>
      </c>
      <c r="G41" s="66" t="s">
        <v>637</v>
      </c>
      <c r="H41" s="66"/>
      <c r="I41" s="66" t="s">
        <v>638</v>
      </c>
      <c r="J41" s="166"/>
      <c r="K41" s="166"/>
      <c r="L41" s="166"/>
      <c r="M41" s="166"/>
    </row>
  </sheetData>
  <mergeCells count="126">
    <mergeCell ref="J34:J35"/>
    <mergeCell ref="K34:K35"/>
    <mergeCell ref="L34:L35"/>
    <mergeCell ref="M34:M35"/>
    <mergeCell ref="J36:J38"/>
    <mergeCell ref="J28:J30"/>
    <mergeCell ref="K28:K30"/>
    <mergeCell ref="L28:L30"/>
    <mergeCell ref="M28:M30"/>
    <mergeCell ref="K31:K33"/>
    <mergeCell ref="L31:L33"/>
    <mergeCell ref="M31:M33"/>
    <mergeCell ref="K36:K38"/>
    <mergeCell ref="L36:L38"/>
    <mergeCell ref="M36:M38"/>
    <mergeCell ref="A39:A41"/>
    <mergeCell ref="B39:B41"/>
    <mergeCell ref="C39:C41"/>
    <mergeCell ref="D39:D41"/>
    <mergeCell ref="E39:E41"/>
    <mergeCell ref="J39:J41"/>
    <mergeCell ref="K39:K41"/>
    <mergeCell ref="L39:L41"/>
    <mergeCell ref="M39:M41"/>
    <mergeCell ref="J16:J17"/>
    <mergeCell ref="K16:K17"/>
    <mergeCell ref="L16:L17"/>
    <mergeCell ref="M16:M17"/>
    <mergeCell ref="K25:K27"/>
    <mergeCell ref="L25:L27"/>
    <mergeCell ref="M25:M27"/>
    <mergeCell ref="K18:K20"/>
    <mergeCell ref="L18:L20"/>
    <mergeCell ref="M18:M20"/>
    <mergeCell ref="J18:J20"/>
    <mergeCell ref="J25:J27"/>
    <mergeCell ref="K21:K24"/>
    <mergeCell ref="L21:L24"/>
    <mergeCell ref="M21:M24"/>
    <mergeCell ref="J31:J33"/>
    <mergeCell ref="A21:A24"/>
    <mergeCell ref="B21:B24"/>
    <mergeCell ref="C21:C24"/>
    <mergeCell ref="J21:J24"/>
    <mergeCell ref="A25:A27"/>
    <mergeCell ref="B25:B27"/>
    <mergeCell ref="C25:C27"/>
    <mergeCell ref="D21:D24"/>
    <mergeCell ref="E21:E24"/>
    <mergeCell ref="A31:A33"/>
    <mergeCell ref="B31:B33"/>
    <mergeCell ref="C31:C33"/>
    <mergeCell ref="D31:D33"/>
    <mergeCell ref="E31:E33"/>
    <mergeCell ref="A28:A30"/>
    <mergeCell ref="D25:D27"/>
    <mergeCell ref="E25:E27"/>
    <mergeCell ref="A36:A38"/>
    <mergeCell ref="B36:B38"/>
    <mergeCell ref="C36:C38"/>
    <mergeCell ref="D36:D38"/>
    <mergeCell ref="E36:E38"/>
    <mergeCell ref="A34:A35"/>
    <mergeCell ref="B34:B35"/>
    <mergeCell ref="C34:C35"/>
    <mergeCell ref="D34:D35"/>
    <mergeCell ref="E34:E35"/>
    <mergeCell ref="B28:B30"/>
    <mergeCell ref="C28:C30"/>
    <mergeCell ref="D28:D30"/>
    <mergeCell ref="E28:E30"/>
    <mergeCell ref="A16:A17"/>
    <mergeCell ref="B16:B17"/>
    <mergeCell ref="C16:C17"/>
    <mergeCell ref="D16:D17"/>
    <mergeCell ref="E16:E17"/>
    <mergeCell ref="A18:A20"/>
    <mergeCell ref="B18:B20"/>
    <mergeCell ref="C18:C20"/>
    <mergeCell ref="D18:D20"/>
    <mergeCell ref="E18:E20"/>
    <mergeCell ref="A9:A11"/>
    <mergeCell ref="B9:B11"/>
    <mergeCell ref="C9:C11"/>
    <mergeCell ref="D9:D11"/>
    <mergeCell ref="E9:E11"/>
    <mergeCell ref="M12:M13"/>
    <mergeCell ref="J14:J15"/>
    <mergeCell ref="M14:M15"/>
    <mergeCell ref="A12:A13"/>
    <mergeCell ref="B12:B13"/>
    <mergeCell ref="C12:C13"/>
    <mergeCell ref="D12:D13"/>
    <mergeCell ref="E12:E13"/>
    <mergeCell ref="A14:A15"/>
    <mergeCell ref="B14:B15"/>
    <mergeCell ref="C14:C15"/>
    <mergeCell ref="D14:D15"/>
    <mergeCell ref="E14:E15"/>
    <mergeCell ref="K14:K15"/>
    <mergeCell ref="L14:L15"/>
    <mergeCell ref="J12:J13"/>
    <mergeCell ref="K12:K13"/>
    <mergeCell ref="L12:L13"/>
    <mergeCell ref="J9:J11"/>
    <mergeCell ref="K9:K11"/>
    <mergeCell ref="L9:L11"/>
    <mergeCell ref="M9:M11"/>
    <mergeCell ref="J5:J8"/>
    <mergeCell ref="K5:K8"/>
    <mergeCell ref="L5:L8"/>
    <mergeCell ref="K2:K4"/>
    <mergeCell ref="L2:L4"/>
    <mergeCell ref="M2:M4"/>
    <mergeCell ref="J2:J4"/>
    <mergeCell ref="M5:M8"/>
    <mergeCell ref="A5:A8"/>
    <mergeCell ref="B5:B8"/>
    <mergeCell ref="C5:C8"/>
    <mergeCell ref="D5:D8"/>
    <mergeCell ref="E5:E8"/>
    <mergeCell ref="E2:E4"/>
    <mergeCell ref="A2:A4"/>
    <mergeCell ref="B2:B4"/>
    <mergeCell ref="C2:C4"/>
    <mergeCell ref="D2:D4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84D8D-E6E9-482D-AEA2-867E722912ED}">
  <dimension ref="A3:M145"/>
  <sheetViews>
    <sheetView topLeftCell="A116" workbookViewId="0">
      <selection activeCell="K5" sqref="K5:K9"/>
    </sheetView>
  </sheetViews>
  <sheetFormatPr defaultRowHeight="15"/>
  <cols>
    <col min="1" max="1" width="4" bestFit="1" customWidth="1"/>
    <col min="2" max="2" width="27" customWidth="1"/>
    <col min="3" max="3" width="12.5703125" customWidth="1"/>
    <col min="4" max="4" width="19.85546875" customWidth="1"/>
    <col min="5" max="5" width="30.7109375" customWidth="1"/>
    <col min="6" max="6" width="6.5703125" customWidth="1"/>
    <col min="7" max="7" width="25.28515625" customWidth="1"/>
    <col min="8" max="8" width="22.5703125" customWidth="1"/>
    <col min="9" max="9" width="32.85546875" customWidth="1"/>
    <col min="10" max="10" width="33.42578125" customWidth="1"/>
    <col min="11" max="11" width="6.28515625" bestFit="1" customWidth="1"/>
    <col min="12" max="12" width="8.5703125" bestFit="1" customWidth="1"/>
    <col min="13" max="13" width="5" bestFit="1" customWidth="1"/>
  </cols>
  <sheetData>
    <row r="3" spans="1:13" ht="28.5">
      <c r="A3" s="38" t="s">
        <v>222</v>
      </c>
      <c r="B3" s="39" t="s">
        <v>62</v>
      </c>
      <c r="C3" s="40" t="s">
        <v>480</v>
      </c>
      <c r="D3" s="40" t="s">
        <v>481</v>
      </c>
      <c r="E3" s="40" t="s">
        <v>639</v>
      </c>
      <c r="F3" s="41" t="s">
        <v>483</v>
      </c>
      <c r="G3" s="40" t="s">
        <v>484</v>
      </c>
      <c r="H3" s="40" t="s">
        <v>485</v>
      </c>
      <c r="I3" s="40" t="s">
        <v>486</v>
      </c>
      <c r="J3" s="42" t="s">
        <v>640</v>
      </c>
      <c r="K3" s="217" t="s">
        <v>488</v>
      </c>
      <c r="L3" s="209" t="s">
        <v>489</v>
      </c>
      <c r="M3" s="211" t="s">
        <v>69</v>
      </c>
    </row>
    <row r="4" spans="1:13" ht="20.25">
      <c r="A4" s="213" t="s">
        <v>37</v>
      </c>
      <c r="B4" s="214"/>
      <c r="C4" s="214"/>
      <c r="D4" s="214"/>
      <c r="E4" s="214"/>
      <c r="F4" s="214"/>
      <c r="G4" s="214"/>
      <c r="H4" s="214"/>
      <c r="I4" s="214"/>
      <c r="J4" s="215"/>
      <c r="K4" s="218"/>
      <c r="L4" s="210"/>
      <c r="M4" s="212"/>
    </row>
    <row r="5" spans="1:13">
      <c r="A5" s="182">
        <v>1</v>
      </c>
      <c r="B5" s="219" t="s">
        <v>641</v>
      </c>
      <c r="C5" s="206" t="s">
        <v>642</v>
      </c>
      <c r="D5" s="203" t="s">
        <v>643</v>
      </c>
      <c r="E5" s="185" t="s">
        <v>644</v>
      </c>
      <c r="F5" s="71">
        <v>1</v>
      </c>
      <c r="G5" s="71" t="s">
        <v>645</v>
      </c>
      <c r="H5" s="75"/>
      <c r="I5" s="74" t="s">
        <v>646</v>
      </c>
      <c r="J5" s="195" t="s">
        <v>647</v>
      </c>
      <c r="K5" s="196"/>
      <c r="L5" s="193" t="s">
        <v>648</v>
      </c>
      <c r="M5" s="194"/>
    </row>
    <row r="6" spans="1:13">
      <c r="A6" s="182"/>
      <c r="B6" s="219"/>
      <c r="C6" s="206"/>
      <c r="D6" s="203"/>
      <c r="E6" s="185"/>
      <c r="F6" s="72">
        <v>2</v>
      </c>
      <c r="G6" s="72" t="s">
        <v>649</v>
      </c>
      <c r="H6" s="47" t="s">
        <v>650</v>
      </c>
      <c r="I6" s="73"/>
      <c r="J6" s="177"/>
      <c r="K6" s="182"/>
      <c r="L6" s="185"/>
      <c r="M6" s="188"/>
    </row>
    <row r="7" spans="1:13">
      <c r="A7" s="182"/>
      <c r="B7" s="219"/>
      <c r="C7" s="206"/>
      <c r="D7" s="203"/>
      <c r="E7" s="185"/>
      <c r="F7" s="72">
        <v>3</v>
      </c>
      <c r="G7" s="72" t="s">
        <v>651</v>
      </c>
      <c r="H7" s="76">
        <v>123456</v>
      </c>
      <c r="I7" s="73"/>
      <c r="J7" s="177"/>
      <c r="K7" s="182"/>
      <c r="L7" s="185"/>
      <c r="M7" s="188"/>
    </row>
    <row r="8" spans="1:13">
      <c r="A8" s="182"/>
      <c r="B8" s="219"/>
      <c r="C8" s="206"/>
      <c r="D8" s="203"/>
      <c r="E8" s="185"/>
      <c r="F8" s="72">
        <v>4</v>
      </c>
      <c r="G8" s="72" t="s">
        <v>652</v>
      </c>
      <c r="H8" s="76">
        <v>123456</v>
      </c>
      <c r="I8" s="73"/>
      <c r="J8" s="177"/>
      <c r="K8" s="182"/>
      <c r="L8" s="185"/>
      <c r="M8" s="188"/>
    </row>
    <row r="9" spans="1:13">
      <c r="A9" s="183"/>
      <c r="B9" s="219"/>
      <c r="C9" s="207"/>
      <c r="D9" s="204"/>
      <c r="E9" s="186"/>
      <c r="F9" s="72">
        <v>5</v>
      </c>
      <c r="G9" s="72" t="s">
        <v>653</v>
      </c>
      <c r="H9" s="76"/>
      <c r="I9" s="73" t="s">
        <v>654</v>
      </c>
      <c r="J9" s="177"/>
      <c r="K9" s="183"/>
      <c r="L9" s="186"/>
      <c r="M9" s="189"/>
    </row>
    <row r="10" spans="1:13">
      <c r="A10" s="181">
        <v>2</v>
      </c>
      <c r="B10" s="219"/>
      <c r="C10" s="205" t="s">
        <v>655</v>
      </c>
      <c r="D10" s="202" t="s">
        <v>656</v>
      </c>
      <c r="E10" s="184" t="s">
        <v>657</v>
      </c>
      <c r="F10" s="72">
        <v>1</v>
      </c>
      <c r="G10" s="72" t="s">
        <v>645</v>
      </c>
      <c r="H10" s="76"/>
      <c r="I10" s="73" t="s">
        <v>646</v>
      </c>
      <c r="J10" s="190" t="s">
        <v>658</v>
      </c>
      <c r="K10" s="192"/>
      <c r="L10" s="193" t="s">
        <v>648</v>
      </c>
      <c r="M10" s="187"/>
    </row>
    <row r="11" spans="1:13">
      <c r="A11" s="182"/>
      <c r="B11" s="219"/>
      <c r="C11" s="206"/>
      <c r="D11" s="203"/>
      <c r="E11" s="185"/>
      <c r="F11" s="72">
        <v>2</v>
      </c>
      <c r="G11" s="72" t="s">
        <v>649</v>
      </c>
      <c r="H11" s="76" t="s">
        <v>659</v>
      </c>
      <c r="I11" s="73"/>
      <c r="J11" s="177"/>
      <c r="K11" s="182"/>
      <c r="L11" s="185"/>
      <c r="M11" s="188"/>
    </row>
    <row r="12" spans="1:13">
      <c r="A12" s="182"/>
      <c r="B12" s="219"/>
      <c r="C12" s="206"/>
      <c r="D12" s="203"/>
      <c r="E12" s="185"/>
      <c r="F12" s="72">
        <v>3</v>
      </c>
      <c r="G12" s="72" t="s">
        <v>651</v>
      </c>
      <c r="H12" s="76">
        <v>123456</v>
      </c>
      <c r="I12" s="73"/>
      <c r="J12" s="177"/>
      <c r="K12" s="182"/>
      <c r="L12" s="185"/>
      <c r="M12" s="188"/>
    </row>
    <row r="13" spans="1:13">
      <c r="A13" s="182"/>
      <c r="B13" s="219"/>
      <c r="C13" s="206"/>
      <c r="D13" s="203"/>
      <c r="E13" s="185"/>
      <c r="F13" s="72">
        <v>4</v>
      </c>
      <c r="G13" s="72" t="s">
        <v>652</v>
      </c>
      <c r="H13" s="76">
        <v>123456</v>
      </c>
      <c r="I13" s="73"/>
      <c r="J13" s="177"/>
      <c r="K13" s="182"/>
      <c r="L13" s="185"/>
      <c r="M13" s="188"/>
    </row>
    <row r="14" spans="1:13">
      <c r="A14" s="183"/>
      <c r="B14" s="219"/>
      <c r="C14" s="207"/>
      <c r="D14" s="204"/>
      <c r="E14" s="186"/>
      <c r="F14" s="72">
        <v>5</v>
      </c>
      <c r="G14" s="72" t="s">
        <v>653</v>
      </c>
      <c r="H14" s="76"/>
      <c r="I14" s="73" t="s">
        <v>660</v>
      </c>
      <c r="J14" s="177"/>
      <c r="K14" s="183"/>
      <c r="L14" s="186"/>
      <c r="M14" s="189"/>
    </row>
    <row r="15" spans="1:13">
      <c r="A15" s="181">
        <v>3</v>
      </c>
      <c r="B15" s="219"/>
      <c r="C15" s="205" t="s">
        <v>661</v>
      </c>
      <c r="D15" s="202" t="s">
        <v>662</v>
      </c>
      <c r="E15" s="216" t="s">
        <v>663</v>
      </c>
      <c r="F15" s="72">
        <v>1</v>
      </c>
      <c r="G15" s="72" t="s">
        <v>645</v>
      </c>
      <c r="H15" s="76"/>
      <c r="I15" s="73" t="s">
        <v>646</v>
      </c>
      <c r="J15" s="190" t="s">
        <v>664</v>
      </c>
      <c r="K15" s="192"/>
      <c r="L15" s="184" t="s">
        <v>648</v>
      </c>
      <c r="M15" s="187"/>
    </row>
    <row r="16" spans="1:13">
      <c r="A16" s="182"/>
      <c r="B16" s="219"/>
      <c r="C16" s="206"/>
      <c r="D16" s="203"/>
      <c r="E16" s="185"/>
      <c r="F16" s="72">
        <v>2</v>
      </c>
      <c r="G16" s="72" t="s">
        <v>649</v>
      </c>
      <c r="H16" s="76" t="s">
        <v>665</v>
      </c>
      <c r="I16" s="73"/>
      <c r="J16" s="177"/>
      <c r="K16" s="182"/>
      <c r="L16" s="185"/>
      <c r="M16" s="188"/>
    </row>
    <row r="17" spans="1:13">
      <c r="A17" s="182"/>
      <c r="B17" s="219"/>
      <c r="C17" s="206"/>
      <c r="D17" s="203"/>
      <c r="E17" s="185"/>
      <c r="F17" s="72">
        <v>3</v>
      </c>
      <c r="G17" s="72" t="s">
        <v>651</v>
      </c>
      <c r="H17" s="76">
        <v>123456</v>
      </c>
      <c r="I17" s="73"/>
      <c r="J17" s="177"/>
      <c r="K17" s="182"/>
      <c r="L17" s="185"/>
      <c r="M17" s="188"/>
    </row>
    <row r="18" spans="1:13">
      <c r="A18" s="183"/>
      <c r="B18" s="219"/>
      <c r="C18" s="207"/>
      <c r="D18" s="204"/>
      <c r="E18" s="186"/>
      <c r="F18" s="72">
        <v>4</v>
      </c>
      <c r="G18" s="72" t="s">
        <v>653</v>
      </c>
      <c r="H18" s="76"/>
      <c r="I18" s="73" t="s">
        <v>666</v>
      </c>
      <c r="J18" s="177"/>
      <c r="K18" s="183"/>
      <c r="L18" s="186"/>
      <c r="M18" s="189"/>
    </row>
    <row r="19" spans="1:13">
      <c r="A19" s="181">
        <v>4</v>
      </c>
      <c r="B19" s="219"/>
      <c r="C19" s="205" t="s">
        <v>667</v>
      </c>
      <c r="D19" s="202" t="s">
        <v>668</v>
      </c>
      <c r="E19" s="216" t="s">
        <v>663</v>
      </c>
      <c r="F19" s="72">
        <v>1</v>
      </c>
      <c r="G19" s="72" t="s">
        <v>645</v>
      </c>
      <c r="H19" s="76"/>
      <c r="I19" s="73" t="s">
        <v>646</v>
      </c>
      <c r="J19" s="177" t="s">
        <v>669</v>
      </c>
      <c r="K19" s="192"/>
      <c r="L19" s="184" t="s">
        <v>648</v>
      </c>
      <c r="M19" s="187"/>
    </row>
    <row r="20" spans="1:13">
      <c r="A20" s="182"/>
      <c r="B20" s="219"/>
      <c r="C20" s="206"/>
      <c r="D20" s="203"/>
      <c r="E20" s="185"/>
      <c r="F20" s="72">
        <v>2</v>
      </c>
      <c r="G20" s="72" t="s">
        <v>651</v>
      </c>
      <c r="H20" s="76">
        <v>123456</v>
      </c>
      <c r="I20" s="73"/>
      <c r="J20" s="177"/>
      <c r="K20" s="182"/>
      <c r="L20" s="185"/>
      <c r="M20" s="188"/>
    </row>
    <row r="21" spans="1:13">
      <c r="A21" s="183"/>
      <c r="B21" s="219"/>
      <c r="C21" s="207"/>
      <c r="D21" s="204"/>
      <c r="E21" s="186"/>
      <c r="F21" s="72">
        <v>3</v>
      </c>
      <c r="G21" s="72" t="s">
        <v>653</v>
      </c>
      <c r="H21" s="76"/>
      <c r="I21" s="73" t="s">
        <v>670</v>
      </c>
      <c r="J21" s="177"/>
      <c r="K21" s="183"/>
      <c r="L21" s="186"/>
      <c r="M21" s="189"/>
    </row>
    <row r="22" spans="1:13">
      <c r="A22" s="181">
        <v>5</v>
      </c>
      <c r="B22" s="219"/>
      <c r="C22" s="205" t="s">
        <v>671</v>
      </c>
      <c r="D22" s="202" t="s">
        <v>672</v>
      </c>
      <c r="E22" s="216" t="s">
        <v>663</v>
      </c>
      <c r="F22" s="72">
        <v>1</v>
      </c>
      <c r="G22" s="72" t="s">
        <v>645</v>
      </c>
      <c r="H22" s="76"/>
      <c r="I22" s="73" t="s">
        <v>646</v>
      </c>
      <c r="J22" s="177" t="s">
        <v>669</v>
      </c>
      <c r="K22" s="192"/>
      <c r="L22" s="184" t="s">
        <v>648</v>
      </c>
      <c r="M22" s="187"/>
    </row>
    <row r="23" spans="1:13">
      <c r="A23" s="182"/>
      <c r="B23" s="219"/>
      <c r="C23" s="206"/>
      <c r="D23" s="203"/>
      <c r="E23" s="185"/>
      <c r="F23" s="72">
        <v>2</v>
      </c>
      <c r="G23" s="72" t="s">
        <v>649</v>
      </c>
      <c r="H23" s="76" t="s">
        <v>673</v>
      </c>
      <c r="I23" s="73"/>
      <c r="J23" s="177"/>
      <c r="K23" s="182"/>
      <c r="L23" s="185"/>
      <c r="M23" s="188"/>
    </row>
    <row r="24" spans="1:13" ht="30">
      <c r="A24" s="183"/>
      <c r="B24" s="219"/>
      <c r="C24" s="207"/>
      <c r="D24" s="204"/>
      <c r="E24" s="186"/>
      <c r="F24" s="72">
        <v>3</v>
      </c>
      <c r="G24" s="72" t="s">
        <v>653</v>
      </c>
      <c r="H24" s="76"/>
      <c r="I24" s="73" t="s">
        <v>674</v>
      </c>
      <c r="J24" s="177"/>
      <c r="K24" s="183"/>
      <c r="L24" s="186"/>
      <c r="M24" s="189"/>
    </row>
    <row r="25" spans="1:13">
      <c r="A25" s="181">
        <v>6</v>
      </c>
      <c r="B25" s="219"/>
      <c r="C25" s="205" t="s">
        <v>675</v>
      </c>
      <c r="D25" s="202" t="s">
        <v>676</v>
      </c>
      <c r="E25" s="216" t="s">
        <v>663</v>
      </c>
      <c r="F25" s="72">
        <v>1</v>
      </c>
      <c r="G25" s="72" t="s">
        <v>645</v>
      </c>
      <c r="H25" s="76"/>
      <c r="I25" s="73" t="s">
        <v>646</v>
      </c>
      <c r="J25" s="177" t="s">
        <v>669</v>
      </c>
      <c r="K25" s="192"/>
      <c r="L25" s="184" t="s">
        <v>648</v>
      </c>
      <c r="M25" s="187"/>
    </row>
    <row r="26" spans="1:13">
      <c r="A26" s="182"/>
      <c r="B26" s="219"/>
      <c r="C26" s="206"/>
      <c r="D26" s="203"/>
      <c r="E26" s="185"/>
      <c r="F26" s="72">
        <v>2</v>
      </c>
      <c r="G26" s="72" t="s">
        <v>651</v>
      </c>
      <c r="H26" s="76">
        <v>123456</v>
      </c>
      <c r="I26" s="73"/>
      <c r="J26" s="177"/>
      <c r="K26" s="182"/>
      <c r="L26" s="185"/>
      <c r="M26" s="188"/>
    </row>
    <row r="27" spans="1:13">
      <c r="A27" s="182"/>
      <c r="B27" s="219"/>
      <c r="C27" s="206"/>
      <c r="D27" s="203"/>
      <c r="E27" s="185"/>
      <c r="F27" s="72">
        <v>3</v>
      </c>
      <c r="G27" s="72" t="s">
        <v>652</v>
      </c>
      <c r="H27" s="76">
        <v>123123</v>
      </c>
      <c r="I27" s="73"/>
      <c r="J27" s="177"/>
      <c r="K27" s="182"/>
      <c r="L27" s="185"/>
      <c r="M27" s="188"/>
    </row>
    <row r="28" spans="1:13">
      <c r="A28" s="183"/>
      <c r="B28" s="219"/>
      <c r="C28" s="207"/>
      <c r="D28" s="204"/>
      <c r="E28" s="186"/>
      <c r="F28" s="72">
        <v>4</v>
      </c>
      <c r="G28" s="72" t="s">
        <v>653</v>
      </c>
      <c r="H28" s="76"/>
      <c r="I28" s="73" t="s">
        <v>677</v>
      </c>
      <c r="J28" s="177"/>
      <c r="K28" s="183"/>
      <c r="L28" s="186"/>
      <c r="M28" s="189"/>
    </row>
    <row r="29" spans="1:13">
      <c r="A29" s="181">
        <v>7</v>
      </c>
      <c r="B29" s="219"/>
      <c r="C29" s="205" t="s">
        <v>678</v>
      </c>
      <c r="D29" s="202" t="s">
        <v>679</v>
      </c>
      <c r="E29" s="216" t="s">
        <v>663</v>
      </c>
      <c r="F29" s="72">
        <v>1</v>
      </c>
      <c r="G29" s="72" t="s">
        <v>645</v>
      </c>
      <c r="H29" s="76"/>
      <c r="I29" s="73" t="s">
        <v>646</v>
      </c>
      <c r="J29" s="190" t="s">
        <v>680</v>
      </c>
      <c r="K29" s="192"/>
      <c r="L29" s="184" t="s">
        <v>648</v>
      </c>
      <c r="M29" s="187"/>
    </row>
    <row r="30" spans="1:13">
      <c r="A30" s="182"/>
      <c r="B30" s="219"/>
      <c r="C30" s="206"/>
      <c r="D30" s="203"/>
      <c r="E30" s="185"/>
      <c r="F30" s="72">
        <v>2</v>
      </c>
      <c r="G30" s="72" t="s">
        <v>649</v>
      </c>
      <c r="H30" s="76" t="s">
        <v>681</v>
      </c>
      <c r="I30" s="73"/>
      <c r="J30" s="177"/>
      <c r="K30" s="182"/>
      <c r="L30" s="185"/>
      <c r="M30" s="188"/>
    </row>
    <row r="31" spans="1:13">
      <c r="A31" s="182"/>
      <c r="B31" s="219"/>
      <c r="C31" s="206"/>
      <c r="D31" s="203"/>
      <c r="E31" s="185"/>
      <c r="F31" s="72">
        <v>3</v>
      </c>
      <c r="G31" s="72" t="s">
        <v>651</v>
      </c>
      <c r="H31" s="76">
        <v>123</v>
      </c>
      <c r="I31" s="73"/>
      <c r="J31" s="177"/>
      <c r="K31" s="182"/>
      <c r="L31" s="185"/>
      <c r="M31" s="188"/>
    </row>
    <row r="32" spans="1:13">
      <c r="A32" s="183"/>
      <c r="B32" s="219"/>
      <c r="C32" s="207"/>
      <c r="D32" s="204"/>
      <c r="E32" s="186"/>
      <c r="F32" s="72">
        <v>4</v>
      </c>
      <c r="G32" s="72" t="s">
        <v>653</v>
      </c>
      <c r="H32" s="76"/>
      <c r="I32" s="73" t="s">
        <v>682</v>
      </c>
      <c r="J32" s="177"/>
      <c r="K32" s="183"/>
      <c r="L32" s="186"/>
      <c r="M32" s="189"/>
    </row>
    <row r="33" spans="1:13">
      <c r="A33" s="181">
        <v>8</v>
      </c>
      <c r="B33" s="219"/>
      <c r="C33" s="205" t="s">
        <v>683</v>
      </c>
      <c r="D33" s="202" t="s">
        <v>684</v>
      </c>
      <c r="E33" s="216" t="s">
        <v>663</v>
      </c>
      <c r="F33" s="72">
        <v>1</v>
      </c>
      <c r="G33" s="72" t="s">
        <v>645</v>
      </c>
      <c r="H33" s="76"/>
      <c r="I33" s="73" t="s">
        <v>646</v>
      </c>
      <c r="J33" s="190" t="s">
        <v>685</v>
      </c>
      <c r="K33" s="192"/>
      <c r="L33" s="184" t="s">
        <v>648</v>
      </c>
      <c r="M33" s="187"/>
    </row>
    <row r="34" spans="1:13">
      <c r="A34" s="182"/>
      <c r="B34" s="219"/>
      <c r="C34" s="206"/>
      <c r="D34" s="203"/>
      <c r="E34" s="185"/>
      <c r="F34" s="72">
        <v>2</v>
      </c>
      <c r="G34" s="72" t="s">
        <v>649</v>
      </c>
      <c r="H34" s="76" t="s">
        <v>686</v>
      </c>
      <c r="I34" s="73"/>
      <c r="J34" s="177"/>
      <c r="K34" s="182"/>
      <c r="L34" s="185"/>
      <c r="M34" s="188"/>
    </row>
    <row r="35" spans="1:13">
      <c r="A35" s="182"/>
      <c r="B35" s="219"/>
      <c r="C35" s="206"/>
      <c r="D35" s="203"/>
      <c r="E35" s="185"/>
      <c r="F35" s="72">
        <v>3</v>
      </c>
      <c r="G35" s="72" t="s">
        <v>651</v>
      </c>
      <c r="H35" s="76" t="s">
        <v>687</v>
      </c>
      <c r="I35" s="73"/>
      <c r="J35" s="177"/>
      <c r="K35" s="182"/>
      <c r="L35" s="185"/>
      <c r="M35" s="188"/>
    </row>
    <row r="36" spans="1:13">
      <c r="A36" s="183"/>
      <c r="B36" s="219"/>
      <c r="C36" s="207"/>
      <c r="D36" s="204"/>
      <c r="E36" s="186"/>
      <c r="F36" s="72">
        <v>4</v>
      </c>
      <c r="G36" s="72" t="s">
        <v>653</v>
      </c>
      <c r="H36" s="76"/>
      <c r="I36" s="73" t="s">
        <v>688</v>
      </c>
      <c r="J36" s="177"/>
      <c r="K36" s="183"/>
      <c r="L36" s="186"/>
      <c r="M36" s="189"/>
    </row>
    <row r="37" spans="1:13">
      <c r="A37" s="181">
        <v>9</v>
      </c>
      <c r="B37" s="219"/>
      <c r="C37" s="205" t="s">
        <v>689</v>
      </c>
      <c r="D37" s="202" t="s">
        <v>690</v>
      </c>
      <c r="E37" s="216" t="s">
        <v>663</v>
      </c>
      <c r="F37" s="72">
        <v>1</v>
      </c>
      <c r="G37" s="72" t="s">
        <v>645</v>
      </c>
      <c r="H37" s="76"/>
      <c r="I37" s="73" t="s">
        <v>646</v>
      </c>
      <c r="J37" s="190" t="s">
        <v>691</v>
      </c>
      <c r="K37" s="192"/>
      <c r="L37" s="184" t="s">
        <v>648</v>
      </c>
      <c r="M37" s="187"/>
    </row>
    <row r="38" spans="1:13">
      <c r="A38" s="182"/>
      <c r="B38" s="219"/>
      <c r="C38" s="206"/>
      <c r="D38" s="203"/>
      <c r="E38" s="185"/>
      <c r="F38" s="72">
        <v>2</v>
      </c>
      <c r="G38" s="72" t="s">
        <v>649</v>
      </c>
      <c r="H38" s="76" t="s">
        <v>692</v>
      </c>
      <c r="I38" s="73"/>
      <c r="J38" s="177"/>
      <c r="K38" s="182"/>
      <c r="L38" s="185"/>
      <c r="M38" s="188"/>
    </row>
    <row r="39" spans="1:13">
      <c r="A39" s="182"/>
      <c r="B39" s="219"/>
      <c r="C39" s="206"/>
      <c r="D39" s="203"/>
      <c r="E39" s="185"/>
      <c r="F39" s="72">
        <v>3</v>
      </c>
      <c r="G39" s="72" t="s">
        <v>651</v>
      </c>
      <c r="H39" s="76">
        <v>123456</v>
      </c>
      <c r="I39" s="73"/>
      <c r="J39" s="177"/>
      <c r="K39" s="182"/>
      <c r="L39" s="185"/>
      <c r="M39" s="188"/>
    </row>
    <row r="40" spans="1:13">
      <c r="A40" s="183"/>
      <c r="B40" s="219"/>
      <c r="C40" s="207"/>
      <c r="D40" s="204"/>
      <c r="E40" s="186"/>
      <c r="F40" s="72">
        <v>4</v>
      </c>
      <c r="G40" s="72" t="s">
        <v>653</v>
      </c>
      <c r="H40" s="76"/>
      <c r="I40" s="73" t="s">
        <v>666</v>
      </c>
      <c r="J40" s="177"/>
      <c r="K40" s="183"/>
      <c r="L40" s="186"/>
      <c r="M40" s="189"/>
    </row>
    <row r="41" spans="1:13" ht="15" customHeight="1">
      <c r="A41" s="181">
        <v>10</v>
      </c>
      <c r="B41" s="219"/>
      <c r="C41" s="205" t="s">
        <v>693</v>
      </c>
      <c r="D41" s="202" t="s">
        <v>694</v>
      </c>
      <c r="E41" s="216" t="s">
        <v>663</v>
      </c>
      <c r="F41" s="72">
        <v>1</v>
      </c>
      <c r="G41" s="72" t="s">
        <v>645</v>
      </c>
      <c r="H41" s="76"/>
      <c r="I41" s="73" t="s">
        <v>646</v>
      </c>
      <c r="J41" s="190" t="s">
        <v>695</v>
      </c>
      <c r="K41" s="192"/>
      <c r="L41" s="184" t="s">
        <v>648</v>
      </c>
      <c r="M41" s="187"/>
    </row>
    <row r="42" spans="1:13">
      <c r="A42" s="182"/>
      <c r="B42" s="219"/>
      <c r="C42" s="206"/>
      <c r="D42" s="203"/>
      <c r="E42" s="185"/>
      <c r="F42" s="72">
        <v>2</v>
      </c>
      <c r="G42" s="72" t="s">
        <v>649</v>
      </c>
      <c r="H42" s="76" t="s">
        <v>696</v>
      </c>
      <c r="I42" s="73"/>
      <c r="J42" s="177"/>
      <c r="K42" s="182"/>
      <c r="L42" s="185"/>
      <c r="M42" s="188"/>
    </row>
    <row r="43" spans="1:13">
      <c r="A43" s="182"/>
      <c r="B43" s="219"/>
      <c r="C43" s="206"/>
      <c r="D43" s="203"/>
      <c r="E43" s="185"/>
      <c r="F43" s="72">
        <v>3</v>
      </c>
      <c r="G43" s="72" t="s">
        <v>651</v>
      </c>
      <c r="H43" s="76">
        <v>123456</v>
      </c>
      <c r="I43" s="73"/>
      <c r="J43" s="177"/>
      <c r="K43" s="182"/>
      <c r="L43" s="185"/>
      <c r="M43" s="188"/>
    </row>
    <row r="44" spans="1:13">
      <c r="A44" s="183"/>
      <c r="B44" s="219"/>
      <c r="C44" s="207"/>
      <c r="D44" s="204"/>
      <c r="E44" s="186"/>
      <c r="F44" s="72">
        <v>4</v>
      </c>
      <c r="G44" s="72" t="s">
        <v>653</v>
      </c>
      <c r="H44" s="76"/>
      <c r="I44" s="73" t="s">
        <v>697</v>
      </c>
      <c r="J44" s="177"/>
      <c r="K44" s="183"/>
      <c r="L44" s="186"/>
      <c r="M44" s="189"/>
    </row>
    <row r="45" spans="1:13">
      <c r="A45" s="181">
        <v>11</v>
      </c>
      <c r="B45" s="219"/>
      <c r="C45" s="205" t="s">
        <v>698</v>
      </c>
      <c r="D45" s="202" t="s">
        <v>699</v>
      </c>
      <c r="E45" s="216" t="s">
        <v>663</v>
      </c>
      <c r="F45" s="72">
        <v>1</v>
      </c>
      <c r="G45" s="72" t="s">
        <v>645</v>
      </c>
      <c r="H45" s="76"/>
      <c r="I45" s="73" t="s">
        <v>646</v>
      </c>
      <c r="J45" s="190" t="s">
        <v>695</v>
      </c>
      <c r="K45" s="192"/>
      <c r="L45" s="184" t="s">
        <v>648</v>
      </c>
      <c r="M45" s="187"/>
    </row>
    <row r="46" spans="1:13">
      <c r="A46" s="182"/>
      <c r="B46" s="219"/>
      <c r="C46" s="206"/>
      <c r="D46" s="203"/>
      <c r="E46" s="185"/>
      <c r="F46" s="72">
        <v>2</v>
      </c>
      <c r="G46" s="72" t="s">
        <v>649</v>
      </c>
      <c r="H46" s="76" t="s">
        <v>700</v>
      </c>
      <c r="I46" s="73"/>
      <c r="J46" s="177"/>
      <c r="K46" s="182"/>
      <c r="L46" s="185"/>
      <c r="M46" s="188"/>
    </row>
    <row r="47" spans="1:13">
      <c r="A47" s="182"/>
      <c r="B47" s="219"/>
      <c r="C47" s="206"/>
      <c r="D47" s="203"/>
      <c r="E47" s="185"/>
      <c r="F47" s="72">
        <v>3</v>
      </c>
      <c r="G47" s="72" t="s">
        <v>651</v>
      </c>
      <c r="H47" s="76" t="s">
        <v>701</v>
      </c>
      <c r="I47" s="73"/>
      <c r="J47" s="177"/>
      <c r="K47" s="182"/>
      <c r="L47" s="185"/>
      <c r="M47" s="188"/>
    </row>
    <row r="48" spans="1:13">
      <c r="A48" s="183"/>
      <c r="B48" s="219"/>
      <c r="C48" s="207"/>
      <c r="D48" s="204"/>
      <c r="E48" s="186"/>
      <c r="F48" s="72">
        <v>4</v>
      </c>
      <c r="G48" s="72" t="s">
        <v>653</v>
      </c>
      <c r="H48" s="76"/>
      <c r="I48" s="73" t="s">
        <v>697</v>
      </c>
      <c r="J48" s="177"/>
      <c r="K48" s="183"/>
      <c r="L48" s="186"/>
      <c r="M48" s="189"/>
    </row>
    <row r="49" spans="1:13">
      <c r="A49" s="181">
        <v>12</v>
      </c>
      <c r="B49" s="219"/>
      <c r="C49" s="205" t="s">
        <v>702</v>
      </c>
      <c r="D49" s="202" t="s">
        <v>703</v>
      </c>
      <c r="E49" s="216" t="s">
        <v>663</v>
      </c>
      <c r="F49" s="72">
        <v>1</v>
      </c>
      <c r="G49" s="72" t="s">
        <v>645</v>
      </c>
      <c r="H49" s="76"/>
      <c r="I49" s="73" t="s">
        <v>646</v>
      </c>
      <c r="J49" s="190" t="s">
        <v>704</v>
      </c>
      <c r="K49" s="192"/>
      <c r="L49" s="184" t="s">
        <v>648</v>
      </c>
      <c r="M49" s="187"/>
    </row>
    <row r="50" spans="1:13">
      <c r="A50" s="182"/>
      <c r="B50" s="219"/>
      <c r="C50" s="206"/>
      <c r="D50" s="203"/>
      <c r="E50" s="185"/>
      <c r="F50" s="72">
        <v>2</v>
      </c>
      <c r="G50" s="72" t="s">
        <v>649</v>
      </c>
      <c r="H50" s="76" t="s">
        <v>705</v>
      </c>
      <c r="I50" s="73"/>
      <c r="J50" s="177"/>
      <c r="K50" s="182"/>
      <c r="L50" s="185"/>
      <c r="M50" s="188"/>
    </row>
    <row r="51" spans="1:13">
      <c r="A51" s="182"/>
      <c r="B51" s="219"/>
      <c r="C51" s="206"/>
      <c r="D51" s="203"/>
      <c r="E51" s="185"/>
      <c r="F51" s="72">
        <v>3</v>
      </c>
      <c r="G51" s="72" t="s">
        <v>651</v>
      </c>
      <c r="H51" s="76">
        <v>123456</v>
      </c>
      <c r="I51" s="73"/>
      <c r="J51" s="177"/>
      <c r="K51" s="182"/>
      <c r="L51" s="185"/>
      <c r="M51" s="188"/>
    </row>
    <row r="52" spans="1:13" ht="30">
      <c r="A52" s="183"/>
      <c r="B52" s="219"/>
      <c r="C52" s="207"/>
      <c r="D52" s="204"/>
      <c r="E52" s="186"/>
      <c r="F52" s="72">
        <v>4</v>
      </c>
      <c r="G52" s="72" t="s">
        <v>653</v>
      </c>
      <c r="H52" s="76"/>
      <c r="I52" s="73" t="s">
        <v>706</v>
      </c>
      <c r="J52" s="177"/>
      <c r="K52" s="183"/>
      <c r="L52" s="186"/>
      <c r="M52" s="189"/>
    </row>
    <row r="53" spans="1:13">
      <c r="A53" s="181">
        <v>13</v>
      </c>
      <c r="B53" s="219"/>
      <c r="C53" s="205" t="s">
        <v>707</v>
      </c>
      <c r="D53" s="202" t="s">
        <v>708</v>
      </c>
      <c r="E53" s="216" t="s">
        <v>663</v>
      </c>
      <c r="F53" s="72">
        <v>1</v>
      </c>
      <c r="G53" s="72" t="s">
        <v>645</v>
      </c>
      <c r="H53" s="76"/>
      <c r="I53" s="73" t="s">
        <v>646</v>
      </c>
      <c r="J53" s="190" t="s">
        <v>680</v>
      </c>
      <c r="K53" s="192"/>
      <c r="L53" s="193" t="s">
        <v>648</v>
      </c>
      <c r="M53" s="187"/>
    </row>
    <row r="54" spans="1:13">
      <c r="A54" s="182"/>
      <c r="B54" s="219"/>
      <c r="C54" s="206"/>
      <c r="D54" s="203"/>
      <c r="E54" s="185"/>
      <c r="F54" s="72">
        <v>2</v>
      </c>
      <c r="G54" s="72" t="s">
        <v>649</v>
      </c>
      <c r="H54" s="76" t="s">
        <v>709</v>
      </c>
      <c r="I54" s="73"/>
      <c r="J54" s="177"/>
      <c r="K54" s="182"/>
      <c r="L54" s="185"/>
      <c r="M54" s="188"/>
    </row>
    <row r="55" spans="1:13">
      <c r="A55" s="182"/>
      <c r="B55" s="219"/>
      <c r="C55" s="206"/>
      <c r="D55" s="203"/>
      <c r="E55" s="185"/>
      <c r="F55" s="72">
        <v>3</v>
      </c>
      <c r="G55" s="72" t="s">
        <v>651</v>
      </c>
      <c r="H55" s="76">
        <v>123456</v>
      </c>
      <c r="I55" s="73"/>
      <c r="J55" s="177"/>
      <c r="K55" s="182"/>
      <c r="L55" s="185"/>
      <c r="M55" s="188"/>
    </row>
    <row r="56" spans="1:13">
      <c r="A56" s="182"/>
      <c r="B56" s="219"/>
      <c r="C56" s="206"/>
      <c r="D56" s="203"/>
      <c r="E56" s="185"/>
      <c r="F56" s="72">
        <v>4</v>
      </c>
      <c r="G56" s="72" t="s">
        <v>652</v>
      </c>
      <c r="H56" s="76">
        <v>654321</v>
      </c>
      <c r="I56" s="73"/>
      <c r="J56" s="177"/>
      <c r="K56" s="182"/>
      <c r="L56" s="185"/>
      <c r="M56" s="188"/>
    </row>
    <row r="57" spans="1:13">
      <c r="A57" s="183"/>
      <c r="B57" s="219"/>
      <c r="C57" s="207"/>
      <c r="D57" s="204"/>
      <c r="E57" s="186"/>
      <c r="F57" s="72">
        <v>5</v>
      </c>
      <c r="G57" s="72" t="s">
        <v>653</v>
      </c>
      <c r="H57" s="76"/>
      <c r="I57" s="73" t="s">
        <v>677</v>
      </c>
      <c r="J57" s="177"/>
      <c r="K57" s="183"/>
      <c r="L57" s="186"/>
      <c r="M57" s="189"/>
    </row>
    <row r="58" spans="1:13">
      <c r="A58" s="181">
        <v>14</v>
      </c>
      <c r="B58" s="219"/>
      <c r="C58" s="205" t="s">
        <v>710</v>
      </c>
      <c r="D58" s="202" t="s">
        <v>711</v>
      </c>
      <c r="E58" s="216" t="s">
        <v>663</v>
      </c>
      <c r="F58" s="72">
        <v>1</v>
      </c>
      <c r="G58" s="72" t="s">
        <v>645</v>
      </c>
      <c r="H58" s="76"/>
      <c r="I58" s="73" t="s">
        <v>646</v>
      </c>
      <c r="J58" s="190" t="s">
        <v>712</v>
      </c>
      <c r="K58" s="192"/>
      <c r="L58" s="184" t="s">
        <v>648</v>
      </c>
      <c r="M58" s="187"/>
    </row>
    <row r="59" spans="1:13">
      <c r="A59" s="182"/>
      <c r="B59" s="219"/>
      <c r="C59" s="206"/>
      <c r="D59" s="203"/>
      <c r="E59" s="185"/>
      <c r="F59" s="72">
        <v>2</v>
      </c>
      <c r="G59" s="72" t="s">
        <v>649</v>
      </c>
      <c r="H59" s="76" t="s">
        <v>713</v>
      </c>
      <c r="I59" s="73"/>
      <c r="J59" s="177"/>
      <c r="K59" s="182"/>
      <c r="L59" s="185"/>
      <c r="M59" s="188"/>
    </row>
    <row r="60" spans="1:13">
      <c r="A60" s="182"/>
      <c r="B60" s="219"/>
      <c r="C60" s="206"/>
      <c r="D60" s="203"/>
      <c r="E60" s="185"/>
      <c r="F60" s="72">
        <v>3</v>
      </c>
      <c r="G60" s="72" t="s">
        <v>651</v>
      </c>
      <c r="H60" s="76">
        <v>123456</v>
      </c>
      <c r="I60" s="73"/>
      <c r="J60" s="177"/>
      <c r="K60" s="182"/>
      <c r="L60" s="185"/>
      <c r="M60" s="188"/>
    </row>
    <row r="61" spans="1:13">
      <c r="A61" s="183"/>
      <c r="B61" s="219"/>
      <c r="C61" s="207"/>
      <c r="D61" s="204"/>
      <c r="E61" s="186"/>
      <c r="F61" s="72">
        <v>4</v>
      </c>
      <c r="G61" s="72" t="s">
        <v>653</v>
      </c>
      <c r="H61" s="76"/>
      <c r="I61" s="73" t="s">
        <v>714</v>
      </c>
      <c r="J61" s="177"/>
      <c r="K61" s="183"/>
      <c r="L61" s="186"/>
      <c r="M61" s="189"/>
    </row>
    <row r="62" spans="1:13">
      <c r="A62" s="181">
        <v>15</v>
      </c>
      <c r="B62" s="219"/>
      <c r="C62" s="205" t="s">
        <v>715</v>
      </c>
      <c r="D62" s="202" t="s">
        <v>716</v>
      </c>
      <c r="E62" s="216" t="s">
        <v>663</v>
      </c>
      <c r="F62" s="72">
        <v>1</v>
      </c>
      <c r="G62" s="72" t="s">
        <v>645</v>
      </c>
      <c r="H62" s="76"/>
      <c r="I62" s="73" t="s">
        <v>646</v>
      </c>
      <c r="J62" s="177" t="s">
        <v>704</v>
      </c>
      <c r="K62" s="192"/>
      <c r="L62" s="184" t="s">
        <v>648</v>
      </c>
      <c r="M62" s="187"/>
    </row>
    <row r="63" spans="1:13">
      <c r="A63" s="183"/>
      <c r="B63" s="219"/>
      <c r="C63" s="207"/>
      <c r="D63" s="204"/>
      <c r="E63" s="186"/>
      <c r="F63" s="72">
        <v>2</v>
      </c>
      <c r="G63" s="72" t="s">
        <v>653</v>
      </c>
      <c r="H63" s="76"/>
      <c r="I63" s="73" t="s">
        <v>717</v>
      </c>
      <c r="J63" s="177"/>
      <c r="K63" s="183"/>
      <c r="L63" s="186"/>
      <c r="M63" s="189"/>
    </row>
    <row r="64" spans="1:13">
      <c r="A64" s="181">
        <v>16</v>
      </c>
      <c r="B64" s="219"/>
      <c r="C64" s="205" t="s">
        <v>718</v>
      </c>
      <c r="D64" s="202" t="s">
        <v>719</v>
      </c>
      <c r="E64" s="216" t="s">
        <v>663</v>
      </c>
      <c r="F64" s="72">
        <v>1</v>
      </c>
      <c r="G64" s="72" t="s">
        <v>645</v>
      </c>
      <c r="H64" s="76"/>
      <c r="I64" s="73" t="s">
        <v>646</v>
      </c>
      <c r="J64" s="177" t="s">
        <v>720</v>
      </c>
      <c r="K64" s="192"/>
      <c r="L64" s="184" t="s">
        <v>648</v>
      </c>
      <c r="M64" s="187"/>
    </row>
    <row r="65" spans="1:13" ht="30">
      <c r="A65" s="182"/>
      <c r="B65" s="219"/>
      <c r="C65" s="206"/>
      <c r="D65" s="203"/>
      <c r="E65" s="185"/>
      <c r="F65" s="72">
        <v>2</v>
      </c>
      <c r="G65" s="72" t="s">
        <v>649</v>
      </c>
      <c r="H65" s="76" t="s">
        <v>721</v>
      </c>
      <c r="I65" s="73"/>
      <c r="J65" s="177"/>
      <c r="K65" s="182"/>
      <c r="L65" s="185"/>
      <c r="M65" s="188"/>
    </row>
    <row r="66" spans="1:13">
      <c r="A66" s="182"/>
      <c r="B66" s="219"/>
      <c r="C66" s="206"/>
      <c r="D66" s="203"/>
      <c r="E66" s="185"/>
      <c r="F66" s="72">
        <v>3</v>
      </c>
      <c r="G66" s="72" t="s">
        <v>651</v>
      </c>
      <c r="H66" s="76">
        <v>123456</v>
      </c>
      <c r="I66" s="73"/>
      <c r="J66" s="177"/>
      <c r="K66" s="182"/>
      <c r="L66" s="185"/>
      <c r="M66" s="188"/>
    </row>
    <row r="67" spans="1:13">
      <c r="A67" s="183"/>
      <c r="B67" s="219"/>
      <c r="C67" s="207"/>
      <c r="D67" s="204"/>
      <c r="E67" s="186"/>
      <c r="F67" s="72">
        <v>4</v>
      </c>
      <c r="G67" s="72" t="s">
        <v>653</v>
      </c>
      <c r="H67" s="76"/>
      <c r="I67" s="73" t="s">
        <v>666</v>
      </c>
      <c r="J67" s="177"/>
      <c r="K67" s="183"/>
      <c r="L67" s="186"/>
      <c r="M67" s="189"/>
    </row>
    <row r="68" spans="1:13">
      <c r="A68" s="181">
        <v>17</v>
      </c>
      <c r="B68" s="219"/>
      <c r="C68" s="205" t="s">
        <v>722</v>
      </c>
      <c r="D68" s="202" t="s">
        <v>723</v>
      </c>
      <c r="E68" s="216" t="s">
        <v>663</v>
      </c>
      <c r="F68" s="72">
        <v>1</v>
      </c>
      <c r="G68" s="72" t="s">
        <v>645</v>
      </c>
      <c r="H68" s="76"/>
      <c r="I68" s="73" t="s">
        <v>646</v>
      </c>
      <c r="J68" s="177" t="s">
        <v>724</v>
      </c>
      <c r="K68" s="192"/>
      <c r="L68" s="184" t="s">
        <v>648</v>
      </c>
      <c r="M68" s="187"/>
    </row>
    <row r="69" spans="1:13">
      <c r="A69" s="182"/>
      <c r="B69" s="219"/>
      <c r="C69" s="206"/>
      <c r="D69" s="203"/>
      <c r="E69" s="185"/>
      <c r="F69" s="72">
        <v>2</v>
      </c>
      <c r="G69" s="72" t="s">
        <v>725</v>
      </c>
      <c r="H69" s="76"/>
      <c r="I69" s="73"/>
      <c r="J69" s="177"/>
      <c r="K69" s="182"/>
      <c r="L69" s="185"/>
      <c r="M69" s="188"/>
    </row>
    <row r="70" spans="1:13">
      <c r="A70" s="183"/>
      <c r="B70" s="219"/>
      <c r="C70" s="207"/>
      <c r="D70" s="204"/>
      <c r="E70" s="186"/>
      <c r="F70" s="72">
        <v>3</v>
      </c>
      <c r="G70" s="72" t="s">
        <v>653</v>
      </c>
      <c r="H70" s="76"/>
      <c r="I70" s="73" t="s">
        <v>726</v>
      </c>
      <c r="J70" s="177"/>
      <c r="K70" s="183"/>
      <c r="L70" s="186"/>
      <c r="M70" s="189"/>
    </row>
    <row r="71" spans="1:13">
      <c r="A71" s="181">
        <v>18</v>
      </c>
      <c r="B71" s="219"/>
      <c r="C71" s="205" t="s">
        <v>727</v>
      </c>
      <c r="D71" s="202" t="s">
        <v>728</v>
      </c>
      <c r="E71" s="184" t="s">
        <v>697</v>
      </c>
      <c r="F71" s="72">
        <v>1</v>
      </c>
      <c r="G71" s="72" t="s">
        <v>729</v>
      </c>
      <c r="H71" s="76"/>
      <c r="I71" s="73"/>
      <c r="J71" s="177" t="s">
        <v>730</v>
      </c>
      <c r="K71" s="192"/>
      <c r="L71" s="184" t="s">
        <v>648</v>
      </c>
      <c r="M71" s="187"/>
    </row>
    <row r="72" spans="1:13" ht="30">
      <c r="A72" s="183"/>
      <c r="B72" s="220"/>
      <c r="C72" s="207"/>
      <c r="D72" s="204"/>
      <c r="E72" s="186"/>
      <c r="F72" s="72">
        <v>2</v>
      </c>
      <c r="G72" s="72" t="s">
        <v>653</v>
      </c>
      <c r="H72" s="76"/>
      <c r="I72" s="73" t="s">
        <v>731</v>
      </c>
      <c r="J72" s="177"/>
      <c r="K72" s="183"/>
      <c r="L72" s="186"/>
      <c r="M72" s="189"/>
    </row>
    <row r="73" spans="1:13">
      <c r="A73" s="181">
        <v>19</v>
      </c>
      <c r="B73" s="201" t="s">
        <v>732</v>
      </c>
      <c r="C73" s="197" t="s">
        <v>733</v>
      </c>
      <c r="D73" s="198" t="s">
        <v>734</v>
      </c>
      <c r="E73" s="179" t="s">
        <v>735</v>
      </c>
      <c r="F73" s="72">
        <v>1</v>
      </c>
      <c r="G73" s="76" t="s">
        <v>736</v>
      </c>
      <c r="H73" s="76"/>
      <c r="I73" s="73" t="s">
        <v>737</v>
      </c>
      <c r="J73" s="190" t="s">
        <v>738</v>
      </c>
      <c r="K73" s="181"/>
      <c r="L73" s="179" t="s">
        <v>648</v>
      </c>
      <c r="M73" s="180"/>
    </row>
    <row r="74" spans="1:13">
      <c r="A74" s="182"/>
      <c r="B74" s="201"/>
      <c r="C74" s="197"/>
      <c r="D74" s="199"/>
      <c r="E74" s="179"/>
      <c r="F74" s="72">
        <v>2</v>
      </c>
      <c r="G74" s="76" t="s">
        <v>649</v>
      </c>
      <c r="H74" s="76" t="s">
        <v>650</v>
      </c>
      <c r="I74" s="73"/>
      <c r="J74" s="190"/>
      <c r="K74" s="182"/>
      <c r="L74" s="179"/>
      <c r="M74" s="180"/>
    </row>
    <row r="75" spans="1:13">
      <c r="A75" s="182"/>
      <c r="B75" s="201"/>
      <c r="C75" s="197"/>
      <c r="D75" s="199"/>
      <c r="E75" s="179"/>
      <c r="F75" s="72">
        <v>3</v>
      </c>
      <c r="G75" s="76" t="s">
        <v>651</v>
      </c>
      <c r="H75" s="76">
        <v>123456</v>
      </c>
      <c r="I75" s="73"/>
      <c r="J75" s="190"/>
      <c r="K75" s="182"/>
      <c r="L75" s="179"/>
      <c r="M75" s="180"/>
    </row>
    <row r="76" spans="1:13" ht="30">
      <c r="A76" s="183"/>
      <c r="B76" s="201"/>
      <c r="C76" s="197"/>
      <c r="D76" s="200"/>
      <c r="E76" s="179"/>
      <c r="F76" s="72">
        <v>4</v>
      </c>
      <c r="G76" s="76" t="s">
        <v>739</v>
      </c>
      <c r="H76" s="76"/>
      <c r="I76" s="73" t="s">
        <v>738</v>
      </c>
      <c r="J76" s="190"/>
      <c r="K76" s="183"/>
      <c r="L76" s="179"/>
      <c r="M76" s="180"/>
    </row>
    <row r="77" spans="1:13">
      <c r="A77" s="181">
        <v>20</v>
      </c>
      <c r="B77" s="201"/>
      <c r="C77" s="197" t="s">
        <v>740</v>
      </c>
      <c r="D77" s="198" t="s">
        <v>741</v>
      </c>
      <c r="E77" s="179" t="s">
        <v>735</v>
      </c>
      <c r="F77" s="72">
        <v>1</v>
      </c>
      <c r="G77" s="76" t="s">
        <v>736</v>
      </c>
      <c r="H77" s="76"/>
      <c r="I77" s="73" t="s">
        <v>737</v>
      </c>
      <c r="J77" s="190" t="s">
        <v>742</v>
      </c>
      <c r="K77" s="181"/>
      <c r="L77" s="179" t="s">
        <v>648</v>
      </c>
      <c r="M77" s="180"/>
    </row>
    <row r="78" spans="1:13">
      <c r="A78" s="182"/>
      <c r="B78" s="201"/>
      <c r="C78" s="197"/>
      <c r="D78" s="199"/>
      <c r="E78" s="179"/>
      <c r="F78" s="72">
        <v>2</v>
      </c>
      <c r="G78" s="76" t="s">
        <v>649</v>
      </c>
      <c r="H78" s="76" t="s">
        <v>650</v>
      </c>
      <c r="I78" s="73"/>
      <c r="J78" s="177"/>
      <c r="K78" s="182"/>
      <c r="L78" s="179"/>
      <c r="M78" s="180"/>
    </row>
    <row r="79" spans="1:13">
      <c r="A79" s="182"/>
      <c r="B79" s="201"/>
      <c r="C79" s="197"/>
      <c r="D79" s="199"/>
      <c r="E79" s="179"/>
      <c r="F79" s="72">
        <v>3</v>
      </c>
      <c r="G79" s="76" t="s">
        <v>651</v>
      </c>
      <c r="H79" s="76">
        <v>111111</v>
      </c>
      <c r="I79" s="73"/>
      <c r="J79" s="177"/>
      <c r="K79" s="182"/>
      <c r="L79" s="179"/>
      <c r="M79" s="180"/>
    </row>
    <row r="80" spans="1:13">
      <c r="A80" s="183"/>
      <c r="B80" s="201"/>
      <c r="C80" s="197"/>
      <c r="D80" s="200"/>
      <c r="E80" s="179"/>
      <c r="F80" s="72">
        <v>4</v>
      </c>
      <c r="G80" s="76" t="s">
        <v>739</v>
      </c>
      <c r="H80" s="76"/>
      <c r="I80" s="73" t="s">
        <v>743</v>
      </c>
      <c r="J80" s="177"/>
      <c r="K80" s="183"/>
      <c r="L80" s="179"/>
      <c r="M80" s="180"/>
    </row>
    <row r="81" spans="1:13">
      <c r="A81" s="181">
        <v>21</v>
      </c>
      <c r="B81" s="201"/>
      <c r="C81" s="197" t="s">
        <v>744</v>
      </c>
      <c r="D81" s="198" t="s">
        <v>745</v>
      </c>
      <c r="E81" s="228" t="s">
        <v>746</v>
      </c>
      <c r="F81" s="72">
        <v>1</v>
      </c>
      <c r="G81" s="76" t="s">
        <v>736</v>
      </c>
      <c r="H81" s="76"/>
      <c r="I81" s="73" t="s">
        <v>737</v>
      </c>
      <c r="J81" s="190" t="s">
        <v>747</v>
      </c>
      <c r="K81" s="192"/>
      <c r="L81" s="179" t="s">
        <v>648</v>
      </c>
      <c r="M81" s="180"/>
    </row>
    <row r="82" spans="1:13">
      <c r="A82" s="182"/>
      <c r="B82" s="201"/>
      <c r="C82" s="197"/>
      <c r="D82" s="199"/>
      <c r="E82" s="179"/>
      <c r="F82" s="72">
        <v>2</v>
      </c>
      <c r="G82" s="76" t="s">
        <v>649</v>
      </c>
      <c r="H82" s="76" t="s">
        <v>748</v>
      </c>
      <c r="I82" s="73"/>
      <c r="J82" s="177"/>
      <c r="K82" s="182"/>
      <c r="L82" s="179"/>
      <c r="M82" s="180"/>
    </row>
    <row r="83" spans="1:13">
      <c r="A83" s="182"/>
      <c r="B83" s="201"/>
      <c r="C83" s="197"/>
      <c r="D83" s="199"/>
      <c r="E83" s="179"/>
      <c r="F83" s="72">
        <v>3</v>
      </c>
      <c r="G83" s="76" t="s">
        <v>651</v>
      </c>
      <c r="H83" s="76">
        <v>123456</v>
      </c>
      <c r="I83" s="73"/>
      <c r="J83" s="177"/>
      <c r="K83" s="182"/>
      <c r="L83" s="179"/>
      <c r="M83" s="180"/>
    </row>
    <row r="84" spans="1:13">
      <c r="A84" s="183"/>
      <c r="B84" s="201"/>
      <c r="C84" s="197"/>
      <c r="D84" s="200"/>
      <c r="E84" s="179"/>
      <c r="F84" s="72">
        <v>4</v>
      </c>
      <c r="G84" s="76" t="s">
        <v>739</v>
      </c>
      <c r="H84" s="76"/>
      <c r="I84" s="73" t="s">
        <v>749</v>
      </c>
      <c r="J84" s="177"/>
      <c r="K84" s="183"/>
      <c r="L84" s="179"/>
      <c r="M84" s="180"/>
    </row>
    <row r="85" spans="1:13">
      <c r="A85" s="181">
        <v>22</v>
      </c>
      <c r="B85" s="201"/>
      <c r="C85" s="197" t="s">
        <v>750</v>
      </c>
      <c r="D85" s="198" t="s">
        <v>668</v>
      </c>
      <c r="E85" s="228" t="s">
        <v>746</v>
      </c>
      <c r="F85" s="72">
        <v>1</v>
      </c>
      <c r="G85" s="76" t="s">
        <v>736</v>
      </c>
      <c r="H85" s="76"/>
      <c r="I85" s="73" t="s">
        <v>737</v>
      </c>
      <c r="J85" s="190" t="s">
        <v>704</v>
      </c>
      <c r="K85" s="192"/>
      <c r="L85" s="179" t="s">
        <v>648</v>
      </c>
      <c r="M85" s="180"/>
    </row>
    <row r="86" spans="1:13">
      <c r="A86" s="182"/>
      <c r="B86" s="201"/>
      <c r="C86" s="197"/>
      <c r="D86" s="199"/>
      <c r="E86" s="179"/>
      <c r="F86" s="72">
        <v>2</v>
      </c>
      <c r="G86" s="76" t="s">
        <v>651</v>
      </c>
      <c r="H86" s="76">
        <v>123456</v>
      </c>
      <c r="I86" s="73"/>
      <c r="J86" s="177"/>
      <c r="K86" s="182"/>
      <c r="L86" s="179"/>
      <c r="M86" s="180"/>
    </row>
    <row r="87" spans="1:13">
      <c r="A87" s="183"/>
      <c r="B87" s="201"/>
      <c r="C87" s="197"/>
      <c r="D87" s="200"/>
      <c r="E87" s="179"/>
      <c r="F87" s="72">
        <v>3</v>
      </c>
      <c r="G87" s="76" t="s">
        <v>739</v>
      </c>
      <c r="H87" s="76"/>
      <c r="I87" s="73" t="s">
        <v>751</v>
      </c>
      <c r="J87" s="177"/>
      <c r="K87" s="183"/>
      <c r="L87" s="179"/>
      <c r="M87" s="180"/>
    </row>
    <row r="88" spans="1:13">
      <c r="A88" s="181">
        <v>23</v>
      </c>
      <c r="B88" s="201"/>
      <c r="C88" s="197" t="s">
        <v>752</v>
      </c>
      <c r="D88" s="198" t="s">
        <v>672</v>
      </c>
      <c r="E88" s="228" t="s">
        <v>746</v>
      </c>
      <c r="F88" s="72">
        <v>1</v>
      </c>
      <c r="G88" s="76" t="s">
        <v>736</v>
      </c>
      <c r="H88" s="76"/>
      <c r="I88" s="73" t="s">
        <v>737</v>
      </c>
      <c r="J88" s="190" t="s">
        <v>704</v>
      </c>
      <c r="K88" s="192"/>
      <c r="L88" s="179" t="s">
        <v>648</v>
      </c>
      <c r="M88" s="180"/>
    </row>
    <row r="89" spans="1:13">
      <c r="A89" s="182"/>
      <c r="B89" s="201"/>
      <c r="C89" s="197"/>
      <c r="D89" s="199"/>
      <c r="E89" s="179"/>
      <c r="F89" s="72">
        <v>2</v>
      </c>
      <c r="G89" s="76" t="s">
        <v>649</v>
      </c>
      <c r="H89" s="76" t="s">
        <v>650</v>
      </c>
      <c r="I89" s="73"/>
      <c r="J89" s="177"/>
      <c r="K89" s="182"/>
      <c r="L89" s="179"/>
      <c r="M89" s="180"/>
    </row>
    <row r="90" spans="1:13">
      <c r="A90" s="183"/>
      <c r="B90" s="201"/>
      <c r="C90" s="197"/>
      <c r="D90" s="200"/>
      <c r="E90" s="179"/>
      <c r="F90" s="72">
        <v>3</v>
      </c>
      <c r="G90" s="76" t="s">
        <v>739</v>
      </c>
      <c r="H90" s="76"/>
      <c r="I90" s="73" t="s">
        <v>753</v>
      </c>
      <c r="J90" s="177"/>
      <c r="K90" s="183"/>
      <c r="L90" s="179"/>
      <c r="M90" s="180"/>
    </row>
    <row r="91" spans="1:13">
      <c r="A91" s="181">
        <v>24</v>
      </c>
      <c r="B91" s="201"/>
      <c r="C91" s="197" t="s">
        <v>754</v>
      </c>
      <c r="D91" s="198" t="s">
        <v>662</v>
      </c>
      <c r="E91" s="228" t="s">
        <v>746</v>
      </c>
      <c r="F91" s="72">
        <v>1</v>
      </c>
      <c r="G91" s="76" t="s">
        <v>736</v>
      </c>
      <c r="H91" s="76"/>
      <c r="I91" s="73" t="s">
        <v>737</v>
      </c>
      <c r="J91" s="190" t="s">
        <v>755</v>
      </c>
      <c r="K91" s="192"/>
      <c r="L91" s="179" t="s">
        <v>648</v>
      </c>
      <c r="M91" s="180"/>
    </row>
    <row r="92" spans="1:13">
      <c r="A92" s="182"/>
      <c r="B92" s="201"/>
      <c r="C92" s="197"/>
      <c r="D92" s="199"/>
      <c r="E92" s="179"/>
      <c r="F92" s="72">
        <v>2</v>
      </c>
      <c r="G92" s="76" t="s">
        <v>649</v>
      </c>
      <c r="H92" s="76" t="s">
        <v>665</v>
      </c>
      <c r="I92" s="73"/>
      <c r="J92" s="177"/>
      <c r="K92" s="182"/>
      <c r="L92" s="179"/>
      <c r="M92" s="180"/>
    </row>
    <row r="93" spans="1:13">
      <c r="A93" s="182"/>
      <c r="B93" s="201"/>
      <c r="C93" s="197"/>
      <c r="D93" s="199"/>
      <c r="E93" s="179"/>
      <c r="F93" s="72">
        <v>3</v>
      </c>
      <c r="G93" s="76" t="s">
        <v>651</v>
      </c>
      <c r="H93" s="76">
        <v>123456</v>
      </c>
      <c r="I93" s="73"/>
      <c r="J93" s="177"/>
      <c r="K93" s="182"/>
      <c r="L93" s="179"/>
      <c r="M93" s="180"/>
    </row>
    <row r="94" spans="1:13">
      <c r="A94" s="183"/>
      <c r="B94" s="201"/>
      <c r="C94" s="197"/>
      <c r="D94" s="200"/>
      <c r="E94" s="179"/>
      <c r="F94" s="72">
        <v>4</v>
      </c>
      <c r="G94" s="76" t="s">
        <v>739</v>
      </c>
      <c r="H94" s="76"/>
      <c r="I94" s="73" t="s">
        <v>714</v>
      </c>
      <c r="J94" s="177"/>
      <c r="K94" s="183"/>
      <c r="L94" s="179"/>
      <c r="M94" s="180"/>
    </row>
    <row r="95" spans="1:13">
      <c r="A95" s="181">
        <v>25</v>
      </c>
      <c r="B95" s="201"/>
      <c r="C95" s="197" t="s">
        <v>756</v>
      </c>
      <c r="D95" s="198" t="s">
        <v>679</v>
      </c>
      <c r="E95" s="228" t="s">
        <v>746</v>
      </c>
      <c r="F95" s="72">
        <v>1</v>
      </c>
      <c r="G95" s="76" t="s">
        <v>736</v>
      </c>
      <c r="H95" s="76"/>
      <c r="I95" s="73" t="s">
        <v>737</v>
      </c>
      <c r="J95" s="190" t="s">
        <v>757</v>
      </c>
      <c r="K95" s="192"/>
      <c r="L95" s="179" t="s">
        <v>648</v>
      </c>
      <c r="M95" s="180"/>
    </row>
    <row r="96" spans="1:13">
      <c r="A96" s="182"/>
      <c r="B96" s="201"/>
      <c r="C96" s="197"/>
      <c r="D96" s="199"/>
      <c r="E96" s="179"/>
      <c r="F96" s="72">
        <v>2</v>
      </c>
      <c r="G96" s="76" t="s">
        <v>649</v>
      </c>
      <c r="H96" s="76" t="s">
        <v>650</v>
      </c>
      <c r="I96" s="73"/>
      <c r="J96" s="177"/>
      <c r="K96" s="182"/>
      <c r="L96" s="179"/>
      <c r="M96" s="180"/>
    </row>
    <row r="97" spans="1:13">
      <c r="A97" s="182"/>
      <c r="B97" s="201"/>
      <c r="C97" s="197"/>
      <c r="D97" s="199"/>
      <c r="E97" s="179"/>
      <c r="F97" s="72">
        <v>3</v>
      </c>
      <c r="G97" s="76" t="s">
        <v>651</v>
      </c>
      <c r="H97" s="76">
        <v>123</v>
      </c>
      <c r="I97" s="73"/>
      <c r="J97" s="177"/>
      <c r="K97" s="182"/>
      <c r="L97" s="179"/>
      <c r="M97" s="180"/>
    </row>
    <row r="98" spans="1:13">
      <c r="A98" s="183"/>
      <c r="B98" s="201"/>
      <c r="C98" s="197"/>
      <c r="D98" s="200"/>
      <c r="E98" s="179"/>
      <c r="F98" s="72">
        <v>4</v>
      </c>
      <c r="G98" s="76" t="s">
        <v>739</v>
      </c>
      <c r="H98" s="76"/>
      <c r="I98" s="73" t="s">
        <v>758</v>
      </c>
      <c r="J98" s="177"/>
      <c r="K98" s="183"/>
      <c r="L98" s="179"/>
      <c r="M98" s="180"/>
    </row>
    <row r="99" spans="1:13">
      <c r="A99" s="181">
        <v>26</v>
      </c>
      <c r="B99" s="201"/>
      <c r="C99" s="197" t="s">
        <v>759</v>
      </c>
      <c r="D99" s="198" t="s">
        <v>690</v>
      </c>
      <c r="E99" s="228" t="s">
        <v>746</v>
      </c>
      <c r="F99" s="72">
        <v>1</v>
      </c>
      <c r="G99" s="76" t="s">
        <v>736</v>
      </c>
      <c r="H99" s="76"/>
      <c r="I99" s="73" t="s">
        <v>737</v>
      </c>
      <c r="J99" s="190" t="s">
        <v>760</v>
      </c>
      <c r="K99" s="192"/>
      <c r="L99" s="179" t="s">
        <v>648</v>
      </c>
      <c r="M99" s="180"/>
    </row>
    <row r="100" spans="1:13">
      <c r="A100" s="182"/>
      <c r="B100" s="201"/>
      <c r="C100" s="197"/>
      <c r="D100" s="199"/>
      <c r="E100" s="179"/>
      <c r="F100" s="72">
        <v>2</v>
      </c>
      <c r="G100" s="76" t="s">
        <v>649</v>
      </c>
      <c r="H100" s="76" t="s">
        <v>692</v>
      </c>
      <c r="I100" s="73"/>
      <c r="J100" s="177"/>
      <c r="K100" s="182"/>
      <c r="L100" s="179"/>
      <c r="M100" s="180"/>
    </row>
    <row r="101" spans="1:13">
      <c r="A101" s="182"/>
      <c r="B101" s="201"/>
      <c r="C101" s="197"/>
      <c r="D101" s="199"/>
      <c r="E101" s="179"/>
      <c r="F101" s="72">
        <v>3</v>
      </c>
      <c r="G101" s="76" t="s">
        <v>651</v>
      </c>
      <c r="H101" s="76">
        <v>123456</v>
      </c>
      <c r="I101" s="73"/>
      <c r="J101" s="177"/>
      <c r="K101" s="182"/>
      <c r="L101" s="179"/>
      <c r="M101" s="180"/>
    </row>
    <row r="102" spans="1:13">
      <c r="A102" s="183"/>
      <c r="B102" s="201"/>
      <c r="C102" s="197"/>
      <c r="D102" s="200"/>
      <c r="E102" s="179"/>
      <c r="F102" s="72">
        <v>4</v>
      </c>
      <c r="G102" s="76" t="s">
        <v>739</v>
      </c>
      <c r="H102" s="76"/>
      <c r="I102" s="73" t="s">
        <v>714</v>
      </c>
      <c r="J102" s="177"/>
      <c r="K102" s="183"/>
      <c r="L102" s="179"/>
      <c r="M102" s="180"/>
    </row>
    <row r="103" spans="1:13">
      <c r="A103" s="181">
        <v>27</v>
      </c>
      <c r="B103" s="201"/>
      <c r="C103" s="197" t="s">
        <v>761</v>
      </c>
      <c r="D103" s="198" t="s">
        <v>762</v>
      </c>
      <c r="E103" s="228" t="s">
        <v>746</v>
      </c>
      <c r="F103" s="72">
        <v>1</v>
      </c>
      <c r="G103" s="76" t="s">
        <v>736</v>
      </c>
      <c r="H103" s="76"/>
      <c r="I103" s="73" t="s">
        <v>737</v>
      </c>
      <c r="J103" s="177"/>
      <c r="K103" s="192"/>
      <c r="L103" s="179" t="s">
        <v>648</v>
      </c>
      <c r="M103" s="180"/>
    </row>
    <row r="104" spans="1:13">
      <c r="A104" s="182"/>
      <c r="B104" s="201"/>
      <c r="C104" s="197"/>
      <c r="D104" s="199"/>
      <c r="E104" s="179"/>
      <c r="F104" s="72">
        <v>2</v>
      </c>
      <c r="G104" s="76" t="s">
        <v>649</v>
      </c>
      <c r="H104" s="76" t="s">
        <v>763</v>
      </c>
      <c r="I104" s="73"/>
      <c r="J104" s="177"/>
      <c r="K104" s="182"/>
      <c r="L104" s="179"/>
      <c r="M104" s="180"/>
    </row>
    <row r="105" spans="1:13">
      <c r="A105" s="182"/>
      <c r="B105" s="201"/>
      <c r="C105" s="197"/>
      <c r="D105" s="199"/>
      <c r="E105" s="179"/>
      <c r="F105" s="72">
        <v>3</v>
      </c>
      <c r="G105" s="76" t="s">
        <v>651</v>
      </c>
      <c r="H105" s="76">
        <v>123456</v>
      </c>
      <c r="I105" s="73"/>
      <c r="J105" s="177"/>
      <c r="K105" s="182"/>
      <c r="L105" s="179"/>
      <c r="M105" s="180"/>
    </row>
    <row r="106" spans="1:13">
      <c r="A106" s="183"/>
      <c r="B106" s="201"/>
      <c r="C106" s="197"/>
      <c r="D106" s="200"/>
      <c r="E106" s="179"/>
      <c r="F106" s="72">
        <v>4</v>
      </c>
      <c r="G106" s="76" t="s">
        <v>739</v>
      </c>
      <c r="H106" s="76"/>
      <c r="I106" s="73" t="s">
        <v>734</v>
      </c>
      <c r="J106" s="177"/>
      <c r="K106" s="183"/>
      <c r="L106" s="179"/>
      <c r="M106" s="180"/>
    </row>
    <row r="107" spans="1:13">
      <c r="A107" s="181">
        <v>28</v>
      </c>
      <c r="B107" s="201"/>
      <c r="C107" s="197" t="s">
        <v>764</v>
      </c>
      <c r="D107" s="198" t="s">
        <v>716</v>
      </c>
      <c r="E107" s="228" t="s">
        <v>746</v>
      </c>
      <c r="F107" s="72">
        <v>1</v>
      </c>
      <c r="G107" s="76" t="s">
        <v>736</v>
      </c>
      <c r="H107" s="76"/>
      <c r="I107" s="73" t="s">
        <v>737</v>
      </c>
      <c r="J107" s="190" t="s">
        <v>704</v>
      </c>
      <c r="K107" s="192"/>
      <c r="L107" s="184" t="s">
        <v>648</v>
      </c>
      <c r="M107" s="180"/>
    </row>
    <row r="108" spans="1:13">
      <c r="A108" s="183"/>
      <c r="B108" s="201"/>
      <c r="C108" s="197"/>
      <c r="D108" s="200"/>
      <c r="E108" s="179"/>
      <c r="F108" s="72">
        <v>2</v>
      </c>
      <c r="G108" s="76" t="s">
        <v>739</v>
      </c>
      <c r="H108" s="76"/>
      <c r="I108" s="73" t="s">
        <v>717</v>
      </c>
      <c r="J108" s="177"/>
      <c r="K108" s="183"/>
      <c r="L108" s="186"/>
      <c r="M108" s="180"/>
    </row>
    <row r="109" spans="1:13">
      <c r="A109" s="181">
        <v>29</v>
      </c>
      <c r="B109" s="201"/>
      <c r="C109" s="197" t="s">
        <v>765</v>
      </c>
      <c r="D109" s="198" t="s">
        <v>766</v>
      </c>
      <c r="E109" s="228" t="s">
        <v>746</v>
      </c>
      <c r="F109" s="72">
        <v>1</v>
      </c>
      <c r="G109" s="76" t="s">
        <v>736</v>
      </c>
      <c r="H109" s="76"/>
      <c r="I109" s="73" t="s">
        <v>737</v>
      </c>
      <c r="J109" s="190" t="s">
        <v>767</v>
      </c>
      <c r="K109" s="191"/>
      <c r="L109" s="184" t="s">
        <v>648</v>
      </c>
      <c r="M109" s="180"/>
    </row>
    <row r="110" spans="1:13">
      <c r="A110" s="182"/>
      <c r="B110" s="201"/>
      <c r="C110" s="197"/>
      <c r="D110" s="199"/>
      <c r="E110" s="179"/>
      <c r="F110" s="72">
        <v>2</v>
      </c>
      <c r="G110" s="76" t="s">
        <v>725</v>
      </c>
      <c r="H110" s="76"/>
      <c r="I110" s="73"/>
      <c r="J110" s="177"/>
      <c r="K110" s="178"/>
      <c r="L110" s="185"/>
      <c r="M110" s="180"/>
    </row>
    <row r="111" spans="1:13">
      <c r="A111" s="183"/>
      <c r="B111" s="201"/>
      <c r="C111" s="197"/>
      <c r="D111" s="200"/>
      <c r="E111" s="179"/>
      <c r="F111" s="72">
        <v>3</v>
      </c>
      <c r="G111" s="76" t="s">
        <v>739</v>
      </c>
      <c r="H111" s="76"/>
      <c r="I111" s="73" t="s">
        <v>768</v>
      </c>
      <c r="J111" s="177"/>
      <c r="K111" s="178"/>
      <c r="L111" s="186"/>
      <c r="M111" s="180"/>
    </row>
    <row r="112" spans="1:13">
      <c r="A112" s="181">
        <v>30</v>
      </c>
      <c r="B112" s="201"/>
      <c r="C112" s="197" t="s">
        <v>769</v>
      </c>
      <c r="D112" s="198" t="s">
        <v>770</v>
      </c>
      <c r="E112" s="228" t="s">
        <v>746</v>
      </c>
      <c r="F112" s="72">
        <v>1</v>
      </c>
      <c r="G112" s="76" t="s">
        <v>736</v>
      </c>
      <c r="H112" s="76"/>
      <c r="I112" s="73" t="s">
        <v>737</v>
      </c>
      <c r="J112" s="177"/>
      <c r="K112" s="191"/>
      <c r="L112" s="179" t="s">
        <v>648</v>
      </c>
      <c r="M112" s="180"/>
    </row>
    <row r="113" spans="1:13">
      <c r="A113" s="182"/>
      <c r="B113" s="201"/>
      <c r="C113" s="197"/>
      <c r="D113" s="199"/>
      <c r="E113" s="179"/>
      <c r="F113" s="72">
        <v>2</v>
      </c>
      <c r="G113" s="76" t="s">
        <v>649</v>
      </c>
      <c r="H113" s="76" t="s">
        <v>650</v>
      </c>
      <c r="I113" s="73"/>
      <c r="J113" s="177"/>
      <c r="K113" s="178"/>
      <c r="L113" s="179"/>
      <c r="M113" s="180"/>
    </row>
    <row r="114" spans="1:13">
      <c r="A114" s="182"/>
      <c r="B114" s="201"/>
      <c r="C114" s="197"/>
      <c r="D114" s="199"/>
      <c r="E114" s="179"/>
      <c r="F114" s="72">
        <v>3</v>
      </c>
      <c r="G114" s="76" t="s">
        <v>651</v>
      </c>
      <c r="H114" s="76" t="s">
        <v>701</v>
      </c>
      <c r="I114" s="73"/>
      <c r="J114" s="177"/>
      <c r="K114" s="178"/>
      <c r="L114" s="179"/>
      <c r="M114" s="180"/>
    </row>
    <row r="115" spans="1:13">
      <c r="A115" s="183"/>
      <c r="B115" s="201"/>
      <c r="C115" s="197"/>
      <c r="D115" s="200"/>
      <c r="E115" s="179"/>
      <c r="F115" s="72">
        <v>4</v>
      </c>
      <c r="G115" s="76" t="s">
        <v>739</v>
      </c>
      <c r="H115" s="76"/>
      <c r="I115" s="73" t="s">
        <v>771</v>
      </c>
      <c r="J115" s="177"/>
      <c r="K115" s="178"/>
      <c r="L115" s="179"/>
      <c r="M115" s="180"/>
    </row>
    <row r="116" spans="1:13">
      <c r="A116" s="181">
        <v>31</v>
      </c>
      <c r="B116" s="201"/>
      <c r="C116" s="197" t="s">
        <v>772</v>
      </c>
      <c r="D116" s="198" t="s">
        <v>719</v>
      </c>
      <c r="E116" s="228" t="s">
        <v>746</v>
      </c>
      <c r="F116" s="72">
        <v>1</v>
      </c>
      <c r="G116" s="76" t="s">
        <v>736</v>
      </c>
      <c r="H116" s="76"/>
      <c r="I116" s="73" t="s">
        <v>737</v>
      </c>
      <c r="J116" s="190" t="s">
        <v>757</v>
      </c>
      <c r="K116" s="191"/>
      <c r="L116" s="179" t="s">
        <v>648</v>
      </c>
      <c r="M116" s="180"/>
    </row>
    <row r="117" spans="1:13" ht="30">
      <c r="A117" s="182"/>
      <c r="B117" s="201"/>
      <c r="C117" s="197"/>
      <c r="D117" s="199"/>
      <c r="E117" s="179"/>
      <c r="F117" s="72">
        <v>2</v>
      </c>
      <c r="G117" s="76" t="s">
        <v>649</v>
      </c>
      <c r="H117" s="76" t="s">
        <v>773</v>
      </c>
      <c r="I117" s="73"/>
      <c r="J117" s="177"/>
      <c r="K117" s="178"/>
      <c r="L117" s="179"/>
      <c r="M117" s="180"/>
    </row>
    <row r="118" spans="1:13">
      <c r="A118" s="182"/>
      <c r="B118" s="201"/>
      <c r="C118" s="197"/>
      <c r="D118" s="199"/>
      <c r="E118" s="179"/>
      <c r="F118" s="72">
        <v>3</v>
      </c>
      <c r="G118" s="76" t="s">
        <v>651</v>
      </c>
      <c r="H118" s="76">
        <v>123456</v>
      </c>
      <c r="I118" s="73"/>
      <c r="J118" s="177"/>
      <c r="K118" s="178"/>
      <c r="L118" s="179"/>
      <c r="M118" s="180"/>
    </row>
    <row r="119" spans="1:13">
      <c r="A119" s="183"/>
      <c r="B119" s="201"/>
      <c r="C119" s="197"/>
      <c r="D119" s="200"/>
      <c r="E119" s="179"/>
      <c r="F119" s="72">
        <v>4</v>
      </c>
      <c r="G119" s="76" t="s">
        <v>739</v>
      </c>
      <c r="H119" s="76"/>
      <c r="I119" s="73" t="s">
        <v>714</v>
      </c>
      <c r="J119" s="177"/>
      <c r="K119" s="178"/>
      <c r="L119" s="179"/>
      <c r="M119" s="180"/>
    </row>
    <row r="120" spans="1:13">
      <c r="A120" s="181">
        <v>32</v>
      </c>
      <c r="B120" s="201"/>
      <c r="C120" s="197" t="s">
        <v>774</v>
      </c>
      <c r="D120" s="198" t="s">
        <v>775</v>
      </c>
      <c r="E120" s="228" t="s">
        <v>746</v>
      </c>
      <c r="F120" s="72">
        <v>1</v>
      </c>
      <c r="G120" s="76" t="s">
        <v>736</v>
      </c>
      <c r="H120" s="76"/>
      <c r="I120" s="73" t="s">
        <v>737</v>
      </c>
      <c r="J120" s="190" t="s">
        <v>757</v>
      </c>
      <c r="K120" s="191"/>
      <c r="L120" s="179" t="s">
        <v>648</v>
      </c>
      <c r="M120" s="180"/>
    </row>
    <row r="121" spans="1:13">
      <c r="A121" s="182"/>
      <c r="B121" s="201"/>
      <c r="C121" s="197"/>
      <c r="D121" s="199"/>
      <c r="E121" s="179"/>
      <c r="F121" s="72">
        <v>2</v>
      </c>
      <c r="G121" s="76" t="s">
        <v>649</v>
      </c>
      <c r="H121" s="76" t="s">
        <v>650</v>
      </c>
      <c r="I121" s="73"/>
      <c r="J121" s="177"/>
      <c r="K121" s="178"/>
      <c r="L121" s="179"/>
      <c r="M121" s="180"/>
    </row>
    <row r="122" spans="1:13">
      <c r="A122" s="182"/>
      <c r="B122" s="201"/>
      <c r="C122" s="197"/>
      <c r="D122" s="199"/>
      <c r="E122" s="179"/>
      <c r="F122" s="72">
        <v>3</v>
      </c>
      <c r="G122" s="76" t="s">
        <v>651</v>
      </c>
      <c r="H122" s="76" t="s">
        <v>776</v>
      </c>
      <c r="I122" s="73"/>
      <c r="J122" s="177"/>
      <c r="K122" s="178"/>
      <c r="L122" s="179"/>
      <c r="M122" s="180"/>
    </row>
    <row r="123" spans="1:13">
      <c r="A123" s="183"/>
      <c r="B123" s="201"/>
      <c r="C123" s="197"/>
      <c r="D123" s="200"/>
      <c r="E123" s="179"/>
      <c r="F123" s="72">
        <v>4</v>
      </c>
      <c r="G123" s="76" t="s">
        <v>739</v>
      </c>
      <c r="H123" s="76"/>
      <c r="I123" s="73" t="s">
        <v>777</v>
      </c>
      <c r="J123" s="177"/>
      <c r="K123" s="178"/>
      <c r="L123" s="179"/>
      <c r="M123" s="180"/>
    </row>
    <row r="124" spans="1:13" ht="30">
      <c r="A124" s="181">
        <v>33</v>
      </c>
      <c r="B124" s="201"/>
      <c r="C124" s="197" t="s">
        <v>778</v>
      </c>
      <c r="D124" s="198" t="s">
        <v>779</v>
      </c>
      <c r="E124" s="179" t="s">
        <v>780</v>
      </c>
      <c r="F124" s="72">
        <v>1</v>
      </c>
      <c r="G124" s="76" t="s">
        <v>781</v>
      </c>
      <c r="H124" s="76"/>
      <c r="I124" s="73"/>
      <c r="J124" s="177"/>
      <c r="K124" s="191"/>
      <c r="L124" s="179" t="s">
        <v>648</v>
      </c>
      <c r="M124" s="180"/>
    </row>
    <row r="125" spans="1:13" ht="30">
      <c r="A125" s="183"/>
      <c r="B125" s="201"/>
      <c r="C125" s="197"/>
      <c r="D125" s="200"/>
      <c r="E125" s="179"/>
      <c r="F125" s="72">
        <v>2</v>
      </c>
      <c r="G125" s="76" t="s">
        <v>739</v>
      </c>
      <c r="H125" s="76"/>
      <c r="I125" s="73" t="s">
        <v>782</v>
      </c>
      <c r="J125" s="177"/>
      <c r="K125" s="178"/>
      <c r="L125" s="179"/>
      <c r="M125" s="180"/>
    </row>
    <row r="126" spans="1:13">
      <c r="A126" s="181">
        <v>34</v>
      </c>
      <c r="B126" s="201" t="s">
        <v>783</v>
      </c>
      <c r="C126" s="197" t="s">
        <v>784</v>
      </c>
      <c r="D126" s="198" t="s">
        <v>785</v>
      </c>
      <c r="E126" s="179" t="s">
        <v>786</v>
      </c>
      <c r="F126" s="72">
        <v>1</v>
      </c>
      <c r="G126" s="72" t="s">
        <v>787</v>
      </c>
      <c r="H126" s="72"/>
      <c r="I126" s="73" t="s">
        <v>788</v>
      </c>
      <c r="J126" s="177"/>
      <c r="K126" s="178"/>
      <c r="L126" s="179" t="s">
        <v>648</v>
      </c>
      <c r="M126" s="180"/>
    </row>
    <row r="127" spans="1:13">
      <c r="A127" s="183"/>
      <c r="B127" s="201"/>
      <c r="C127" s="197"/>
      <c r="D127" s="200"/>
      <c r="E127" s="179"/>
      <c r="F127" s="72">
        <v>2</v>
      </c>
      <c r="G127" s="72"/>
      <c r="H127" s="72"/>
      <c r="I127" s="73" t="s">
        <v>789</v>
      </c>
      <c r="J127" s="177"/>
      <c r="K127" s="178"/>
      <c r="L127" s="179"/>
      <c r="M127" s="180"/>
    </row>
    <row r="128" spans="1:13">
      <c r="A128" s="181">
        <v>35</v>
      </c>
      <c r="B128" s="201"/>
      <c r="C128" s="197" t="s">
        <v>790</v>
      </c>
      <c r="D128" s="198" t="s">
        <v>791</v>
      </c>
      <c r="E128" s="179" t="s">
        <v>786</v>
      </c>
      <c r="F128" s="72">
        <v>1</v>
      </c>
      <c r="G128" s="72" t="s">
        <v>792</v>
      </c>
      <c r="H128" s="72"/>
      <c r="I128" s="73"/>
      <c r="J128" s="177"/>
      <c r="K128" s="178"/>
      <c r="L128" s="179" t="s">
        <v>648</v>
      </c>
      <c r="M128" s="180"/>
    </row>
    <row r="129" spans="1:13">
      <c r="A129" s="183"/>
      <c r="B129" s="201"/>
      <c r="C129" s="197"/>
      <c r="D129" s="200"/>
      <c r="E129" s="179"/>
      <c r="F129" s="72">
        <v>2</v>
      </c>
      <c r="G129" s="72" t="s">
        <v>793</v>
      </c>
      <c r="H129" s="72"/>
      <c r="I129" s="73" t="s">
        <v>794</v>
      </c>
      <c r="J129" s="177"/>
      <c r="K129" s="178"/>
      <c r="L129" s="179"/>
      <c r="M129" s="180"/>
    </row>
    <row r="130" spans="1:13">
      <c r="A130" s="181">
        <v>36</v>
      </c>
      <c r="B130" s="201"/>
      <c r="C130" s="197" t="s">
        <v>795</v>
      </c>
      <c r="D130" s="198" t="s">
        <v>796</v>
      </c>
      <c r="E130" s="179" t="s">
        <v>797</v>
      </c>
      <c r="F130" s="72">
        <v>1</v>
      </c>
      <c r="G130" s="72" t="s">
        <v>798</v>
      </c>
      <c r="H130" s="72"/>
      <c r="I130" s="73"/>
      <c r="J130" s="177"/>
      <c r="K130" s="178"/>
      <c r="L130" s="179" t="s">
        <v>648</v>
      </c>
      <c r="M130" s="180"/>
    </row>
    <row r="131" spans="1:13">
      <c r="A131" s="183"/>
      <c r="B131" s="201"/>
      <c r="C131" s="197"/>
      <c r="D131" s="200"/>
      <c r="E131" s="179"/>
      <c r="F131" s="72">
        <v>2</v>
      </c>
      <c r="G131" s="72"/>
      <c r="H131" s="72"/>
      <c r="I131" s="73" t="s">
        <v>799</v>
      </c>
      <c r="J131" s="177"/>
      <c r="K131" s="178"/>
      <c r="L131" s="179"/>
      <c r="M131" s="180"/>
    </row>
    <row r="132" spans="1:13">
      <c r="A132" s="181">
        <v>37</v>
      </c>
      <c r="B132" s="201"/>
      <c r="C132" s="197" t="s">
        <v>800</v>
      </c>
      <c r="D132" s="198" t="s">
        <v>801</v>
      </c>
      <c r="E132" s="179" t="s">
        <v>786</v>
      </c>
      <c r="F132" s="72">
        <v>1</v>
      </c>
      <c r="G132" s="72" t="s">
        <v>793</v>
      </c>
      <c r="H132" s="72"/>
      <c r="I132" s="73"/>
      <c r="J132" s="177"/>
      <c r="K132" s="178"/>
      <c r="L132" s="179" t="s">
        <v>648</v>
      </c>
      <c r="M132" s="180"/>
    </row>
    <row r="133" spans="1:13">
      <c r="A133" s="183"/>
      <c r="B133" s="201"/>
      <c r="C133" s="197"/>
      <c r="D133" s="200"/>
      <c r="E133" s="179"/>
      <c r="F133" s="72">
        <v>2</v>
      </c>
      <c r="G133" s="72"/>
      <c r="H133" s="72"/>
      <c r="I133" s="73" t="s">
        <v>802</v>
      </c>
      <c r="J133" s="177"/>
      <c r="K133" s="178"/>
      <c r="L133" s="179"/>
      <c r="M133" s="180"/>
    </row>
    <row r="134" spans="1:13">
      <c r="A134" s="181">
        <v>38</v>
      </c>
      <c r="B134" s="201"/>
      <c r="C134" s="197" t="s">
        <v>803</v>
      </c>
      <c r="D134" s="198" t="s">
        <v>804</v>
      </c>
      <c r="E134" s="179" t="s">
        <v>797</v>
      </c>
      <c r="F134" s="72">
        <v>1</v>
      </c>
      <c r="G134" s="72" t="s">
        <v>805</v>
      </c>
      <c r="H134" s="72"/>
      <c r="I134" s="73"/>
      <c r="J134" s="177"/>
      <c r="K134" s="178"/>
      <c r="L134" s="179" t="s">
        <v>648</v>
      </c>
      <c r="M134" s="180"/>
    </row>
    <row r="135" spans="1:13">
      <c r="A135" s="183"/>
      <c r="B135" s="201"/>
      <c r="C135" s="197"/>
      <c r="D135" s="200"/>
      <c r="E135" s="179"/>
      <c r="F135" s="72">
        <v>2</v>
      </c>
      <c r="G135" s="72"/>
      <c r="H135" s="72"/>
      <c r="I135" s="73" t="s">
        <v>806</v>
      </c>
      <c r="J135" s="177"/>
      <c r="K135" s="178"/>
      <c r="L135" s="179"/>
      <c r="M135" s="180"/>
    </row>
    <row r="136" spans="1:13">
      <c r="A136" s="181">
        <v>39</v>
      </c>
      <c r="B136" s="201"/>
      <c r="C136" s="197" t="s">
        <v>807</v>
      </c>
      <c r="D136" s="198" t="s">
        <v>808</v>
      </c>
      <c r="E136" s="179" t="s">
        <v>809</v>
      </c>
      <c r="F136" s="72">
        <v>1</v>
      </c>
      <c r="G136" s="72" t="s">
        <v>810</v>
      </c>
      <c r="H136" s="72"/>
      <c r="I136" s="73"/>
      <c r="J136" s="177"/>
      <c r="K136" s="178"/>
      <c r="L136" s="179" t="s">
        <v>648</v>
      </c>
      <c r="M136" s="180"/>
    </row>
    <row r="137" spans="1:13">
      <c r="A137" s="183"/>
      <c r="B137" s="201"/>
      <c r="C137" s="197"/>
      <c r="D137" s="200"/>
      <c r="E137" s="179"/>
      <c r="F137" s="72">
        <v>2</v>
      </c>
      <c r="G137" s="72"/>
      <c r="H137" s="72"/>
      <c r="I137" s="73" t="s">
        <v>811</v>
      </c>
      <c r="J137" s="177"/>
      <c r="K137" s="178"/>
      <c r="L137" s="179"/>
      <c r="M137" s="180"/>
    </row>
    <row r="138" spans="1:13">
      <c r="A138" s="181">
        <v>40</v>
      </c>
      <c r="B138" s="201"/>
      <c r="C138" s="197" t="s">
        <v>812</v>
      </c>
      <c r="D138" s="198" t="s">
        <v>813</v>
      </c>
      <c r="E138" s="179" t="s">
        <v>786</v>
      </c>
      <c r="F138" s="72">
        <v>1</v>
      </c>
      <c r="G138" s="72" t="s">
        <v>793</v>
      </c>
      <c r="H138" s="70"/>
      <c r="I138" s="77"/>
      <c r="J138" s="177"/>
      <c r="K138" s="178"/>
      <c r="L138" s="179" t="s">
        <v>648</v>
      </c>
      <c r="M138" s="180"/>
    </row>
    <row r="139" spans="1:13" ht="30">
      <c r="A139" s="182"/>
      <c r="B139" s="208"/>
      <c r="C139" s="205"/>
      <c r="D139" s="199"/>
      <c r="E139" s="184"/>
      <c r="F139" s="70">
        <v>2</v>
      </c>
      <c r="G139" s="78"/>
      <c r="H139" s="72"/>
      <c r="I139" s="73" t="s">
        <v>814</v>
      </c>
      <c r="J139" s="177"/>
      <c r="K139" s="181"/>
      <c r="L139" s="184"/>
      <c r="M139" s="187"/>
    </row>
    <row r="140" spans="1:13">
      <c r="A140" s="221">
        <v>41</v>
      </c>
      <c r="B140" s="227" t="s">
        <v>815</v>
      </c>
      <c r="C140" s="205" t="s">
        <v>816</v>
      </c>
      <c r="D140" s="224" t="s">
        <v>817</v>
      </c>
      <c r="E140" s="184" t="s">
        <v>818</v>
      </c>
      <c r="F140" s="33">
        <v>1</v>
      </c>
      <c r="G140" s="79" t="s">
        <v>819</v>
      </c>
      <c r="H140" s="79" t="s">
        <v>820</v>
      </c>
      <c r="I140" s="229" t="s">
        <v>821</v>
      </c>
      <c r="J140" s="177"/>
      <c r="K140" s="181"/>
      <c r="L140" s="184" t="s">
        <v>648</v>
      </c>
      <c r="M140" s="187"/>
    </row>
    <row r="141" spans="1:13" ht="29.25">
      <c r="A141" s="222"/>
      <c r="B141" s="219"/>
      <c r="C141" s="207"/>
      <c r="D141" s="226"/>
      <c r="E141" s="186"/>
      <c r="F141" s="33">
        <v>2</v>
      </c>
      <c r="G141" s="79" t="s">
        <v>822</v>
      </c>
      <c r="H141" s="79"/>
      <c r="I141" s="230"/>
      <c r="J141" s="177"/>
      <c r="K141" s="183"/>
      <c r="L141" s="186"/>
      <c r="M141" s="189"/>
    </row>
    <row r="142" spans="1:13" ht="33.75" customHeight="1">
      <c r="A142" s="221">
        <v>42</v>
      </c>
      <c r="B142" s="219"/>
      <c r="C142" s="205" t="s">
        <v>823</v>
      </c>
      <c r="D142" s="224" t="s">
        <v>824</v>
      </c>
      <c r="E142" s="184" t="s">
        <v>825</v>
      </c>
      <c r="F142" s="33">
        <v>1</v>
      </c>
      <c r="G142" s="79" t="s">
        <v>826</v>
      </c>
      <c r="H142" s="80" t="s">
        <v>650</v>
      </c>
      <c r="I142" s="231" t="s">
        <v>827</v>
      </c>
      <c r="J142" s="177"/>
      <c r="K142" s="181"/>
      <c r="L142" s="184" t="s">
        <v>648</v>
      </c>
      <c r="M142" s="187"/>
    </row>
    <row r="143" spans="1:13" ht="29.25">
      <c r="A143" s="223"/>
      <c r="B143" s="219"/>
      <c r="C143" s="206"/>
      <c r="D143" s="225"/>
      <c r="E143" s="185"/>
      <c r="F143" s="33">
        <v>2</v>
      </c>
      <c r="G143" s="79" t="s">
        <v>822</v>
      </c>
      <c r="H143" s="79"/>
      <c r="I143" s="232"/>
      <c r="J143" s="177"/>
      <c r="K143" s="182"/>
      <c r="L143" s="185"/>
      <c r="M143" s="188"/>
    </row>
    <row r="144" spans="1:13" ht="29.25">
      <c r="A144" s="222"/>
      <c r="B144" s="220"/>
      <c r="C144" s="207"/>
      <c r="D144" s="226"/>
      <c r="E144" s="186"/>
      <c r="F144" s="33">
        <v>3</v>
      </c>
      <c r="G144" s="79" t="s">
        <v>828</v>
      </c>
      <c r="H144" s="79"/>
      <c r="I144" s="233"/>
      <c r="J144" s="177"/>
      <c r="K144" s="183"/>
      <c r="L144" s="186"/>
      <c r="M144" s="189"/>
    </row>
    <row r="145" spans="1:13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</sheetData>
  <mergeCells count="346">
    <mergeCell ref="I140:I141"/>
    <mergeCell ref="I142:I144"/>
    <mergeCell ref="E95:E98"/>
    <mergeCell ref="E99:E102"/>
    <mergeCell ref="E103:E106"/>
    <mergeCell ref="E107:E108"/>
    <mergeCell ref="E109:E111"/>
    <mergeCell ref="E112:E115"/>
    <mergeCell ref="E116:E119"/>
    <mergeCell ref="E120:E123"/>
    <mergeCell ref="E140:E141"/>
    <mergeCell ref="E126:E127"/>
    <mergeCell ref="E128:E129"/>
    <mergeCell ref="E130:E131"/>
    <mergeCell ref="E132:E133"/>
    <mergeCell ref="E124:E125"/>
    <mergeCell ref="D126:D127"/>
    <mergeCell ref="D128:D129"/>
    <mergeCell ref="E62:E63"/>
    <mergeCell ref="E64:E67"/>
    <mergeCell ref="E85:E87"/>
    <mergeCell ref="E88:E90"/>
    <mergeCell ref="D71:D72"/>
    <mergeCell ref="D64:D67"/>
    <mergeCell ref="D68:D70"/>
    <mergeCell ref="D62:D63"/>
    <mergeCell ref="E68:E70"/>
    <mergeCell ref="E71:E72"/>
    <mergeCell ref="D73:D76"/>
    <mergeCell ref="E73:E76"/>
    <mergeCell ref="D77:D80"/>
    <mergeCell ref="E77:E80"/>
    <mergeCell ref="C109:C111"/>
    <mergeCell ref="D85:D87"/>
    <mergeCell ref="C112:C115"/>
    <mergeCell ref="D107:D108"/>
    <mergeCell ref="D109:D111"/>
    <mergeCell ref="C107:C108"/>
    <mergeCell ref="C103:C106"/>
    <mergeCell ref="C99:C102"/>
    <mergeCell ref="E81:E84"/>
    <mergeCell ref="E91:E94"/>
    <mergeCell ref="D112:D115"/>
    <mergeCell ref="D124:D125"/>
    <mergeCell ref="D120:D123"/>
    <mergeCell ref="D103:D106"/>
    <mergeCell ref="D116:D119"/>
    <mergeCell ref="D130:D131"/>
    <mergeCell ref="D132:D133"/>
    <mergeCell ref="E142:E144"/>
    <mergeCell ref="B140:B144"/>
    <mergeCell ref="E134:E135"/>
    <mergeCell ref="E136:E137"/>
    <mergeCell ref="E138:E139"/>
    <mergeCell ref="C140:C141"/>
    <mergeCell ref="D140:D141"/>
    <mergeCell ref="C134:C135"/>
    <mergeCell ref="D134:D135"/>
    <mergeCell ref="A140:A141"/>
    <mergeCell ref="A142:A144"/>
    <mergeCell ref="C142:C144"/>
    <mergeCell ref="C138:C139"/>
    <mergeCell ref="D136:D137"/>
    <mergeCell ref="D138:D139"/>
    <mergeCell ref="C136:C137"/>
    <mergeCell ref="A138:A139"/>
    <mergeCell ref="D142:D144"/>
    <mergeCell ref="E5:E9"/>
    <mergeCell ref="C15:C18"/>
    <mergeCell ref="C10:C14"/>
    <mergeCell ref="D10:D14"/>
    <mergeCell ref="D5:D9"/>
    <mergeCell ref="C5:C9"/>
    <mergeCell ref="E15:E18"/>
    <mergeCell ref="D15:D18"/>
    <mergeCell ref="E10:E14"/>
    <mergeCell ref="E33:E36"/>
    <mergeCell ref="D37:D40"/>
    <mergeCell ref="E37:E40"/>
    <mergeCell ref="E41:E44"/>
    <mergeCell ref="A58:A61"/>
    <mergeCell ref="D58:D61"/>
    <mergeCell ref="D49:D52"/>
    <mergeCell ref="D53:D57"/>
    <mergeCell ref="C49:C52"/>
    <mergeCell ref="E49:E52"/>
    <mergeCell ref="E53:E57"/>
    <mergeCell ref="E58:E61"/>
    <mergeCell ref="A49:A52"/>
    <mergeCell ref="A53:A57"/>
    <mergeCell ref="D45:D48"/>
    <mergeCell ref="A41:A44"/>
    <mergeCell ref="A5:A9"/>
    <mergeCell ref="B5:B72"/>
    <mergeCell ref="C71:C72"/>
    <mergeCell ref="C68:C70"/>
    <mergeCell ref="C53:C57"/>
    <mergeCell ref="C58:C61"/>
    <mergeCell ref="C62:C63"/>
    <mergeCell ref="A15:A18"/>
    <mergeCell ref="A10:A14"/>
    <mergeCell ref="A45:A48"/>
    <mergeCell ref="A33:A36"/>
    <mergeCell ref="A29:A32"/>
    <mergeCell ref="A25:A28"/>
    <mergeCell ref="A22:A24"/>
    <mergeCell ref="A19:A21"/>
    <mergeCell ref="A37:A40"/>
    <mergeCell ref="L3:L4"/>
    <mergeCell ref="M3:M4"/>
    <mergeCell ref="A4:J4"/>
    <mergeCell ref="C126:C127"/>
    <mergeCell ref="E19:E21"/>
    <mergeCell ref="E22:E24"/>
    <mergeCell ref="E25:E28"/>
    <mergeCell ref="E45:E48"/>
    <mergeCell ref="E29:E32"/>
    <mergeCell ref="A120:A123"/>
    <mergeCell ref="K3:K4"/>
    <mergeCell ref="A107:A108"/>
    <mergeCell ref="A109:A111"/>
    <mergeCell ref="A112:A115"/>
    <mergeCell ref="A116:A119"/>
    <mergeCell ref="D99:D102"/>
    <mergeCell ref="A88:A90"/>
    <mergeCell ref="A91:A94"/>
    <mergeCell ref="C64:C67"/>
    <mergeCell ref="A71:A72"/>
    <mergeCell ref="A62:A63"/>
    <mergeCell ref="A64:A67"/>
    <mergeCell ref="A68:A70"/>
    <mergeCell ref="C85:C87"/>
    <mergeCell ref="A85:A87"/>
    <mergeCell ref="C73:C76"/>
    <mergeCell ref="C77:C80"/>
    <mergeCell ref="C81:C84"/>
    <mergeCell ref="A132:A133"/>
    <mergeCell ref="A134:A135"/>
    <mergeCell ref="A136:A137"/>
    <mergeCell ref="C124:C125"/>
    <mergeCell ref="A126:A127"/>
    <mergeCell ref="A128:A129"/>
    <mergeCell ref="A130:A131"/>
    <mergeCell ref="B126:B139"/>
    <mergeCell ref="A124:A125"/>
    <mergeCell ref="C130:C131"/>
    <mergeCell ref="C132:C133"/>
    <mergeCell ref="C128:C129"/>
    <mergeCell ref="D19:D21"/>
    <mergeCell ref="D22:D24"/>
    <mergeCell ref="D25:D28"/>
    <mergeCell ref="C41:C44"/>
    <mergeCell ref="C45:C48"/>
    <mergeCell ref="C19:C21"/>
    <mergeCell ref="C22:C24"/>
    <mergeCell ref="D29:D32"/>
    <mergeCell ref="D33:D36"/>
    <mergeCell ref="C29:C32"/>
    <mergeCell ref="C33:C36"/>
    <mergeCell ref="C37:C40"/>
    <mergeCell ref="D41:D44"/>
    <mergeCell ref="C25:C28"/>
    <mergeCell ref="A95:A98"/>
    <mergeCell ref="C88:C90"/>
    <mergeCell ref="D88:D90"/>
    <mergeCell ref="C91:C94"/>
    <mergeCell ref="D91:D94"/>
    <mergeCell ref="C95:C98"/>
    <mergeCell ref="D95:D98"/>
    <mergeCell ref="B73:B125"/>
    <mergeCell ref="A73:A76"/>
    <mergeCell ref="A99:A102"/>
    <mergeCell ref="A103:A106"/>
    <mergeCell ref="A77:A80"/>
    <mergeCell ref="A81:A84"/>
    <mergeCell ref="D81:D84"/>
    <mergeCell ref="C116:C119"/>
    <mergeCell ref="C120:C123"/>
    <mergeCell ref="L15:L18"/>
    <mergeCell ref="M15:M18"/>
    <mergeCell ref="L25:L28"/>
    <mergeCell ref="M25:M28"/>
    <mergeCell ref="J15:J18"/>
    <mergeCell ref="K15:K18"/>
    <mergeCell ref="L29:L32"/>
    <mergeCell ref="M29:M32"/>
    <mergeCell ref="J19:J21"/>
    <mergeCell ref="K19:K21"/>
    <mergeCell ref="L19:L21"/>
    <mergeCell ref="M19:M21"/>
    <mergeCell ref="J29:J32"/>
    <mergeCell ref="K29:K32"/>
    <mergeCell ref="J22:J24"/>
    <mergeCell ref="K22:K24"/>
    <mergeCell ref="K25:K28"/>
    <mergeCell ref="L22:L24"/>
    <mergeCell ref="M22:M24"/>
    <mergeCell ref="J25:J28"/>
    <mergeCell ref="L5:L9"/>
    <mergeCell ref="M5:M9"/>
    <mergeCell ref="J10:J14"/>
    <mergeCell ref="K10:K14"/>
    <mergeCell ref="L10:L14"/>
    <mergeCell ref="M10:M14"/>
    <mergeCell ref="J5:J9"/>
    <mergeCell ref="K5:K9"/>
    <mergeCell ref="K53:K57"/>
    <mergeCell ref="L53:L57"/>
    <mergeCell ref="M53:M57"/>
    <mergeCell ref="J53:J57"/>
    <mergeCell ref="L33:L36"/>
    <mergeCell ref="M33:M36"/>
    <mergeCell ref="L37:L40"/>
    <mergeCell ref="M37:M40"/>
    <mergeCell ref="J41:J44"/>
    <mergeCell ref="K41:K44"/>
    <mergeCell ref="L41:L44"/>
    <mergeCell ref="M41:M44"/>
    <mergeCell ref="J37:J40"/>
    <mergeCell ref="K37:K40"/>
    <mergeCell ref="J33:J36"/>
    <mergeCell ref="K33:K36"/>
    <mergeCell ref="L45:L48"/>
    <mergeCell ref="M45:M48"/>
    <mergeCell ref="J49:J52"/>
    <mergeCell ref="K49:K52"/>
    <mergeCell ref="L49:L52"/>
    <mergeCell ref="M49:M52"/>
    <mergeCell ref="J45:J48"/>
    <mergeCell ref="K45:K48"/>
    <mergeCell ref="J58:J61"/>
    <mergeCell ref="J64:J67"/>
    <mergeCell ref="K64:K67"/>
    <mergeCell ref="L64:L67"/>
    <mergeCell ref="M64:M67"/>
    <mergeCell ref="K58:K61"/>
    <mergeCell ref="L58:L61"/>
    <mergeCell ref="M58:M61"/>
    <mergeCell ref="J62:J63"/>
    <mergeCell ref="K62:K63"/>
    <mergeCell ref="L62:L63"/>
    <mergeCell ref="M62:M63"/>
    <mergeCell ref="J71:J72"/>
    <mergeCell ref="K71:K72"/>
    <mergeCell ref="L71:L72"/>
    <mergeCell ref="M71:M72"/>
    <mergeCell ref="J68:J70"/>
    <mergeCell ref="K68:K70"/>
    <mergeCell ref="L68:L70"/>
    <mergeCell ref="M68:M70"/>
    <mergeCell ref="J91:J94"/>
    <mergeCell ref="K91:K94"/>
    <mergeCell ref="L91:L94"/>
    <mergeCell ref="M91:M94"/>
    <mergeCell ref="J95:J98"/>
    <mergeCell ref="K95:K98"/>
    <mergeCell ref="L95:L98"/>
    <mergeCell ref="M95:M98"/>
    <mergeCell ref="J99:J102"/>
    <mergeCell ref="K99:K102"/>
    <mergeCell ref="L99:L102"/>
    <mergeCell ref="M99:M102"/>
    <mergeCell ref="J73:J76"/>
    <mergeCell ref="K73:K76"/>
    <mergeCell ref="L73:L76"/>
    <mergeCell ref="M73:M76"/>
    <mergeCell ref="J77:J80"/>
    <mergeCell ref="K77:K80"/>
    <mergeCell ref="L77:L80"/>
    <mergeCell ref="M77:M80"/>
    <mergeCell ref="J81:J84"/>
    <mergeCell ref="K81:K84"/>
    <mergeCell ref="L81:L84"/>
    <mergeCell ref="M81:M84"/>
    <mergeCell ref="J126:J127"/>
    <mergeCell ref="K126:K127"/>
    <mergeCell ref="L126:L127"/>
    <mergeCell ref="M126:M127"/>
    <mergeCell ref="J103:J106"/>
    <mergeCell ref="K103:K106"/>
    <mergeCell ref="L103:L106"/>
    <mergeCell ref="M103:M106"/>
    <mergeCell ref="J107:J108"/>
    <mergeCell ref="K107:K108"/>
    <mergeCell ref="L107:L108"/>
    <mergeCell ref="M107:M108"/>
    <mergeCell ref="J109:J111"/>
    <mergeCell ref="K109:K111"/>
    <mergeCell ref="L109:L111"/>
    <mergeCell ref="M109:M111"/>
    <mergeCell ref="J85:J87"/>
    <mergeCell ref="K85:K87"/>
    <mergeCell ref="L85:L87"/>
    <mergeCell ref="M85:M87"/>
    <mergeCell ref="J88:J90"/>
    <mergeCell ref="K88:K90"/>
    <mergeCell ref="L88:L90"/>
    <mergeCell ref="M88:M90"/>
    <mergeCell ref="J112:J115"/>
    <mergeCell ref="K112:K115"/>
    <mergeCell ref="L112:L115"/>
    <mergeCell ref="M112:M115"/>
    <mergeCell ref="J116:J119"/>
    <mergeCell ref="K116:K119"/>
    <mergeCell ref="L116:L119"/>
    <mergeCell ref="M116:M119"/>
    <mergeCell ref="J120:J123"/>
    <mergeCell ref="K120:K123"/>
    <mergeCell ref="L120:L123"/>
    <mergeCell ref="M120:M123"/>
    <mergeCell ref="J124:J125"/>
    <mergeCell ref="K124:K125"/>
    <mergeCell ref="L124:L125"/>
    <mergeCell ref="M124:M125"/>
    <mergeCell ref="J138:J139"/>
    <mergeCell ref="K138:K139"/>
    <mergeCell ref="L138:L139"/>
    <mergeCell ref="M138:M139"/>
    <mergeCell ref="J140:J141"/>
    <mergeCell ref="K140:K141"/>
    <mergeCell ref="L140:L141"/>
    <mergeCell ref="M140:M141"/>
    <mergeCell ref="J142:J144"/>
    <mergeCell ref="K142:K144"/>
    <mergeCell ref="L142:L144"/>
    <mergeCell ref="M142:M144"/>
    <mergeCell ref="J128:J129"/>
    <mergeCell ref="K128:K129"/>
    <mergeCell ref="L128:L129"/>
    <mergeCell ref="M128:M129"/>
    <mergeCell ref="J130:J131"/>
    <mergeCell ref="K130:K131"/>
    <mergeCell ref="L130:L131"/>
    <mergeCell ref="M130:M131"/>
    <mergeCell ref="J132:J133"/>
    <mergeCell ref="K132:K133"/>
    <mergeCell ref="L132:L133"/>
    <mergeCell ref="M132:M133"/>
    <mergeCell ref="J134:J135"/>
    <mergeCell ref="K134:K135"/>
    <mergeCell ref="L134:L135"/>
    <mergeCell ref="M134:M135"/>
    <mergeCell ref="J136:J137"/>
    <mergeCell ref="K136:K137"/>
    <mergeCell ref="L136:L137"/>
    <mergeCell ref="M136:M137"/>
  </mergeCells>
  <hyperlinks>
    <hyperlink ref="H6" r:id="rId1" xr:uid="{00000000-0004-0000-0500-000000000000}"/>
    <hyperlink ref="H142" r:id="rId2" xr:uid="{00000000-0004-0000-05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49C8-8A1A-412E-B0CE-AD054A53F9EC}">
  <dimension ref="A3:M59"/>
  <sheetViews>
    <sheetView topLeftCell="C1" workbookViewId="0">
      <selection activeCell="K56" sqref="K56"/>
    </sheetView>
  </sheetViews>
  <sheetFormatPr defaultRowHeight="15"/>
  <cols>
    <col min="2" max="2" width="28" customWidth="1"/>
    <col min="3" max="3" width="15.85546875" customWidth="1"/>
    <col min="4" max="4" width="31.28515625" customWidth="1"/>
    <col min="5" max="5" width="21.42578125" customWidth="1"/>
    <col min="7" max="7" width="26.5703125" customWidth="1"/>
    <col min="8" max="8" width="17.28515625" bestFit="1" customWidth="1"/>
    <col min="9" max="9" width="66.28515625" style="48" customWidth="1"/>
    <col min="10" max="10" width="18.28515625" customWidth="1"/>
  </cols>
  <sheetData>
    <row r="3" spans="1:13" ht="57" customHeight="1">
      <c r="A3" s="17" t="s">
        <v>222</v>
      </c>
      <c r="B3" s="18" t="s">
        <v>62</v>
      </c>
      <c r="C3" s="19" t="s">
        <v>480</v>
      </c>
      <c r="D3" s="19" t="s">
        <v>481</v>
      </c>
      <c r="E3" s="19" t="s">
        <v>639</v>
      </c>
      <c r="F3" s="20" t="s">
        <v>483</v>
      </c>
      <c r="G3" s="19" t="s">
        <v>484</v>
      </c>
      <c r="H3" s="19" t="s">
        <v>485</v>
      </c>
      <c r="I3" s="19" t="s">
        <v>486</v>
      </c>
      <c r="J3" s="21" t="s">
        <v>640</v>
      </c>
      <c r="K3" s="251" t="s">
        <v>488</v>
      </c>
      <c r="L3" s="240" t="s">
        <v>489</v>
      </c>
      <c r="M3" s="242" t="s">
        <v>69</v>
      </c>
    </row>
    <row r="4" spans="1:13" ht="20.25">
      <c r="A4" s="244" t="s">
        <v>40</v>
      </c>
      <c r="B4" s="245"/>
      <c r="C4" s="245"/>
      <c r="D4" s="245"/>
      <c r="E4" s="245"/>
      <c r="F4" s="245"/>
      <c r="G4" s="245"/>
      <c r="H4" s="245"/>
      <c r="I4" s="245"/>
      <c r="J4" s="246"/>
      <c r="K4" s="252"/>
      <c r="L4" s="241"/>
      <c r="M4" s="243"/>
    </row>
    <row r="5" spans="1:13" ht="30.75" customHeight="1">
      <c r="A5" s="248">
        <v>1</v>
      </c>
      <c r="B5" s="247" t="s">
        <v>829</v>
      </c>
      <c r="C5" s="253" t="s">
        <v>830</v>
      </c>
      <c r="D5" s="237" t="s">
        <v>831</v>
      </c>
      <c r="E5" s="237" t="s">
        <v>786</v>
      </c>
      <c r="F5" s="37">
        <v>1</v>
      </c>
      <c r="G5" s="37" t="s">
        <v>832</v>
      </c>
      <c r="H5" s="37"/>
      <c r="I5" s="237" t="s">
        <v>833</v>
      </c>
      <c r="J5" s="239"/>
      <c r="K5" s="237"/>
      <c r="L5" s="237"/>
      <c r="M5" s="237"/>
    </row>
    <row r="6" spans="1:13" ht="15" customHeight="1">
      <c r="A6" s="249"/>
      <c r="B6" s="234"/>
      <c r="C6" s="254"/>
      <c r="D6" s="204"/>
      <c r="E6" s="204"/>
      <c r="F6" s="27">
        <v>2</v>
      </c>
      <c r="G6" s="27"/>
      <c r="H6" s="27"/>
      <c r="I6" s="204" t="s">
        <v>834</v>
      </c>
      <c r="J6" s="195"/>
      <c r="K6" s="204"/>
      <c r="L6" s="204"/>
      <c r="M6" s="204"/>
    </row>
    <row r="7" spans="1:13">
      <c r="A7" s="250">
        <v>2</v>
      </c>
      <c r="B7" s="234"/>
      <c r="C7" s="255" t="s">
        <v>835</v>
      </c>
      <c r="D7" s="202" t="s">
        <v>836</v>
      </c>
      <c r="E7" s="202" t="s">
        <v>786</v>
      </c>
      <c r="F7" s="27">
        <v>1</v>
      </c>
      <c r="G7" s="27" t="s">
        <v>837</v>
      </c>
      <c r="H7" s="27"/>
      <c r="I7" s="235" t="s">
        <v>838</v>
      </c>
      <c r="J7" s="238"/>
      <c r="K7" s="202"/>
      <c r="L7" s="202"/>
      <c r="M7" s="202"/>
    </row>
    <row r="8" spans="1:13">
      <c r="A8" s="249"/>
      <c r="B8" s="234"/>
      <c r="C8" s="254"/>
      <c r="D8" s="204"/>
      <c r="E8" s="204"/>
      <c r="F8" s="27">
        <v>2</v>
      </c>
      <c r="G8" s="27"/>
      <c r="H8" s="27"/>
      <c r="I8" s="204" t="s">
        <v>839</v>
      </c>
      <c r="J8" s="195"/>
      <c r="K8" s="204"/>
      <c r="L8" s="204"/>
      <c r="M8" s="204"/>
    </row>
    <row r="9" spans="1:13">
      <c r="A9" s="250">
        <v>3</v>
      </c>
      <c r="B9" s="234"/>
      <c r="C9" s="255" t="s">
        <v>840</v>
      </c>
      <c r="D9" s="202" t="s">
        <v>841</v>
      </c>
      <c r="E9" s="202" t="s">
        <v>786</v>
      </c>
      <c r="F9" s="27">
        <v>1</v>
      </c>
      <c r="G9" s="27" t="s">
        <v>837</v>
      </c>
      <c r="H9" s="27"/>
      <c r="I9" s="235" t="s">
        <v>842</v>
      </c>
      <c r="J9" s="238"/>
      <c r="K9" s="202"/>
      <c r="L9" s="202"/>
      <c r="M9" s="202"/>
    </row>
    <row r="10" spans="1:13">
      <c r="A10" s="249"/>
      <c r="B10" s="234"/>
      <c r="C10" s="254"/>
      <c r="D10" s="204"/>
      <c r="E10" s="204"/>
      <c r="F10" s="27">
        <v>2</v>
      </c>
      <c r="G10" s="27"/>
      <c r="H10" s="27"/>
      <c r="I10" s="204" t="s">
        <v>843</v>
      </c>
      <c r="J10" s="195"/>
      <c r="K10" s="204"/>
      <c r="L10" s="204"/>
      <c r="M10" s="204"/>
    </row>
    <row r="11" spans="1:13">
      <c r="A11" s="250">
        <v>4</v>
      </c>
      <c r="B11" s="234"/>
      <c r="C11" s="255" t="s">
        <v>844</v>
      </c>
      <c r="D11" s="202" t="s">
        <v>845</v>
      </c>
      <c r="E11" s="202" t="s">
        <v>786</v>
      </c>
      <c r="F11" s="27">
        <v>1</v>
      </c>
      <c r="G11" s="27" t="s">
        <v>837</v>
      </c>
      <c r="H11" s="27"/>
      <c r="I11" s="235" t="s">
        <v>846</v>
      </c>
      <c r="J11" s="238"/>
      <c r="K11" s="202"/>
      <c r="L11" s="202"/>
      <c r="M11" s="202"/>
    </row>
    <row r="12" spans="1:13">
      <c r="A12" s="249"/>
      <c r="B12" s="234"/>
      <c r="C12" s="254"/>
      <c r="D12" s="204"/>
      <c r="E12" s="204"/>
      <c r="F12" s="27">
        <v>2</v>
      </c>
      <c r="G12" s="27"/>
      <c r="H12" s="27"/>
      <c r="I12" s="204" t="s">
        <v>847</v>
      </c>
      <c r="J12" s="195"/>
      <c r="K12" s="204"/>
      <c r="L12" s="204"/>
      <c r="M12" s="204"/>
    </row>
    <row r="13" spans="1:13">
      <c r="A13" s="250">
        <v>6</v>
      </c>
      <c r="B13" s="234"/>
      <c r="C13" s="255" t="s">
        <v>848</v>
      </c>
      <c r="D13" s="202" t="s">
        <v>849</v>
      </c>
      <c r="E13" s="235" t="s">
        <v>850</v>
      </c>
      <c r="F13" s="27">
        <v>1</v>
      </c>
      <c r="G13" s="27" t="s">
        <v>851</v>
      </c>
      <c r="H13" s="27"/>
      <c r="I13" s="235" t="s">
        <v>852</v>
      </c>
      <c r="J13" s="266"/>
      <c r="K13" s="235"/>
      <c r="L13" s="235"/>
      <c r="M13" s="235"/>
    </row>
    <row r="14" spans="1:13" ht="15" customHeight="1">
      <c r="A14" s="249"/>
      <c r="B14" s="234"/>
      <c r="C14" s="254"/>
      <c r="D14" s="204"/>
      <c r="E14" s="204"/>
      <c r="F14" s="27">
        <v>2</v>
      </c>
      <c r="G14" s="27"/>
      <c r="H14" s="27"/>
      <c r="I14" s="204" t="s">
        <v>853</v>
      </c>
      <c r="J14" s="195"/>
      <c r="K14" s="204"/>
      <c r="L14" s="204"/>
      <c r="M14" s="204"/>
    </row>
    <row r="15" spans="1:13">
      <c r="A15" s="250">
        <v>7</v>
      </c>
      <c r="B15" s="234"/>
      <c r="C15" s="255" t="s">
        <v>854</v>
      </c>
      <c r="D15" s="202" t="s">
        <v>855</v>
      </c>
      <c r="E15" s="202" t="s">
        <v>786</v>
      </c>
      <c r="F15" s="27">
        <v>1</v>
      </c>
      <c r="G15" s="27" t="s">
        <v>837</v>
      </c>
      <c r="H15" s="27"/>
      <c r="I15" s="235" t="s">
        <v>856</v>
      </c>
      <c r="J15" s="238"/>
      <c r="K15" s="202"/>
      <c r="L15" s="202"/>
      <c r="M15" s="202"/>
    </row>
    <row r="16" spans="1:13" ht="15" customHeight="1">
      <c r="A16" s="249"/>
      <c r="B16" s="234"/>
      <c r="C16" s="254"/>
      <c r="D16" s="204"/>
      <c r="E16" s="204"/>
      <c r="F16" s="27">
        <v>2</v>
      </c>
      <c r="G16" s="27"/>
      <c r="H16" s="27"/>
      <c r="I16" s="204" t="s">
        <v>857</v>
      </c>
      <c r="J16" s="195"/>
      <c r="K16" s="204"/>
      <c r="L16" s="204"/>
      <c r="M16" s="204"/>
    </row>
    <row r="17" spans="1:13">
      <c r="A17" s="250">
        <v>6</v>
      </c>
      <c r="B17" s="234"/>
      <c r="C17" s="255" t="s">
        <v>858</v>
      </c>
      <c r="D17" s="202" t="s">
        <v>859</v>
      </c>
      <c r="E17" s="202" t="s">
        <v>860</v>
      </c>
      <c r="F17" s="27">
        <v>1</v>
      </c>
      <c r="G17" s="27" t="s">
        <v>82</v>
      </c>
      <c r="H17" s="27"/>
      <c r="I17" s="235" t="s">
        <v>861</v>
      </c>
      <c r="J17" s="238"/>
      <c r="K17" s="202"/>
      <c r="L17" s="202"/>
      <c r="M17" s="202"/>
    </row>
    <row r="18" spans="1:13" ht="15" customHeight="1">
      <c r="A18" s="249"/>
      <c r="B18" s="234"/>
      <c r="C18" s="254"/>
      <c r="D18" s="204"/>
      <c r="E18" s="204"/>
      <c r="F18" s="27">
        <v>2</v>
      </c>
      <c r="G18" s="27" t="s">
        <v>837</v>
      </c>
      <c r="H18" s="27"/>
      <c r="I18" s="204" t="s">
        <v>862</v>
      </c>
      <c r="J18" s="195"/>
      <c r="K18" s="204"/>
      <c r="L18" s="204"/>
      <c r="M18" s="204"/>
    </row>
    <row r="19" spans="1:13">
      <c r="A19" s="250">
        <v>8</v>
      </c>
      <c r="B19" s="234"/>
      <c r="C19" s="255" t="s">
        <v>863</v>
      </c>
      <c r="D19" s="202" t="s">
        <v>864</v>
      </c>
      <c r="E19" s="202" t="s">
        <v>786</v>
      </c>
      <c r="F19" s="27">
        <v>1</v>
      </c>
      <c r="G19" s="27" t="s">
        <v>837</v>
      </c>
      <c r="H19" s="27"/>
      <c r="I19" s="235" t="s">
        <v>865</v>
      </c>
      <c r="J19" s="238"/>
      <c r="K19" s="202"/>
      <c r="L19" s="202"/>
      <c r="M19" s="202"/>
    </row>
    <row r="20" spans="1:13" ht="15" customHeight="1">
      <c r="A20" s="249"/>
      <c r="B20" s="234"/>
      <c r="C20" s="254"/>
      <c r="D20" s="204"/>
      <c r="E20" s="204"/>
      <c r="F20" s="27">
        <v>2</v>
      </c>
      <c r="G20" s="27"/>
      <c r="H20" s="27"/>
      <c r="I20" s="204" t="s">
        <v>866</v>
      </c>
      <c r="J20" s="195"/>
      <c r="K20" s="204"/>
      <c r="L20" s="204"/>
      <c r="M20" s="204"/>
    </row>
    <row r="21" spans="1:13">
      <c r="A21" s="250">
        <v>9</v>
      </c>
      <c r="B21" s="234"/>
      <c r="C21" s="255" t="s">
        <v>867</v>
      </c>
      <c r="D21" s="202" t="s">
        <v>868</v>
      </c>
      <c r="E21" s="202" t="s">
        <v>786</v>
      </c>
      <c r="F21" s="27">
        <v>1</v>
      </c>
      <c r="G21" s="27" t="s">
        <v>869</v>
      </c>
      <c r="H21" s="27"/>
      <c r="I21" s="235" t="s">
        <v>870</v>
      </c>
      <c r="J21" s="238"/>
      <c r="K21" s="202"/>
      <c r="L21" s="202"/>
      <c r="M21" s="202"/>
    </row>
    <row r="22" spans="1:13" ht="15" customHeight="1">
      <c r="A22" s="249"/>
      <c r="B22" s="234"/>
      <c r="C22" s="254"/>
      <c r="D22" s="204"/>
      <c r="E22" s="204"/>
      <c r="F22" s="27">
        <v>2</v>
      </c>
      <c r="G22" s="27"/>
      <c r="H22" s="27"/>
      <c r="I22" s="204" t="s">
        <v>871</v>
      </c>
      <c r="J22" s="195"/>
      <c r="K22" s="204"/>
      <c r="L22" s="204"/>
      <c r="M22" s="204"/>
    </row>
    <row r="23" spans="1:13">
      <c r="A23" s="250">
        <v>10</v>
      </c>
      <c r="B23" s="234"/>
      <c r="C23" s="255" t="s">
        <v>872</v>
      </c>
      <c r="D23" s="202" t="s">
        <v>873</v>
      </c>
      <c r="E23" s="202" t="s">
        <v>786</v>
      </c>
      <c r="F23" s="27">
        <v>1</v>
      </c>
      <c r="G23" s="27" t="s">
        <v>837</v>
      </c>
      <c r="H23" s="27"/>
      <c r="I23" s="235" t="s">
        <v>874</v>
      </c>
      <c r="J23" s="238"/>
      <c r="K23" s="202"/>
      <c r="L23" s="202"/>
      <c r="M23" s="202"/>
    </row>
    <row r="24" spans="1:13" ht="15" customHeight="1">
      <c r="A24" s="249"/>
      <c r="B24" s="234"/>
      <c r="C24" s="254"/>
      <c r="D24" s="204"/>
      <c r="E24" s="204"/>
      <c r="F24" s="27">
        <v>2</v>
      </c>
      <c r="G24" s="27"/>
      <c r="H24" s="27"/>
      <c r="I24" s="204" t="s">
        <v>875</v>
      </c>
      <c r="J24" s="195"/>
      <c r="K24" s="204"/>
      <c r="L24" s="204"/>
      <c r="M24" s="204"/>
    </row>
    <row r="25" spans="1:13">
      <c r="A25" s="250">
        <v>11</v>
      </c>
      <c r="B25" s="261" t="s">
        <v>876</v>
      </c>
      <c r="C25" s="255" t="s">
        <v>877</v>
      </c>
      <c r="D25" s="202" t="s">
        <v>878</v>
      </c>
      <c r="E25" s="202" t="s">
        <v>786</v>
      </c>
      <c r="F25" s="27">
        <v>1</v>
      </c>
      <c r="G25" s="27" t="s">
        <v>837</v>
      </c>
      <c r="H25" s="27"/>
      <c r="I25" s="235" t="s">
        <v>879</v>
      </c>
      <c r="J25" s="238"/>
      <c r="K25" s="202"/>
      <c r="L25" s="202"/>
      <c r="M25" s="202"/>
    </row>
    <row r="26" spans="1:13" ht="15" customHeight="1">
      <c r="A26" s="257"/>
      <c r="B26" s="262"/>
      <c r="C26" s="256"/>
      <c r="D26" s="203"/>
      <c r="E26" s="203"/>
      <c r="F26" s="27">
        <v>2</v>
      </c>
      <c r="G26" s="27" t="s">
        <v>880</v>
      </c>
      <c r="H26" s="27" t="s">
        <v>881</v>
      </c>
      <c r="I26" s="203"/>
      <c r="J26" s="258"/>
      <c r="K26" s="203"/>
      <c r="L26" s="203"/>
      <c r="M26" s="203"/>
    </row>
    <row r="27" spans="1:13" ht="15" customHeight="1">
      <c r="A27" s="249"/>
      <c r="B27" s="262"/>
      <c r="C27" s="254"/>
      <c r="D27" s="204"/>
      <c r="E27" s="204"/>
      <c r="F27" s="27">
        <v>3</v>
      </c>
      <c r="G27" s="27" t="s">
        <v>882</v>
      </c>
      <c r="H27" s="27"/>
      <c r="I27" s="204" t="s">
        <v>883</v>
      </c>
      <c r="J27" s="195"/>
      <c r="K27" s="204"/>
      <c r="L27" s="204"/>
      <c r="M27" s="204"/>
    </row>
    <row r="28" spans="1:13">
      <c r="A28" s="250">
        <v>12</v>
      </c>
      <c r="B28" s="262"/>
      <c r="C28" s="255" t="s">
        <v>884</v>
      </c>
      <c r="D28" s="202" t="s">
        <v>885</v>
      </c>
      <c r="E28" s="202" t="s">
        <v>786</v>
      </c>
      <c r="F28" s="27">
        <v>1</v>
      </c>
      <c r="G28" s="27" t="s">
        <v>837</v>
      </c>
      <c r="H28" s="27"/>
      <c r="I28" s="235" t="s">
        <v>886</v>
      </c>
      <c r="J28" s="238"/>
      <c r="K28" s="202"/>
      <c r="L28" s="202"/>
      <c r="M28" s="202"/>
    </row>
    <row r="29" spans="1:13">
      <c r="A29" s="257"/>
      <c r="B29" s="262"/>
      <c r="C29" s="256"/>
      <c r="D29" s="203"/>
      <c r="E29" s="203"/>
      <c r="F29" s="27">
        <v>2</v>
      </c>
      <c r="G29" s="27" t="s">
        <v>887</v>
      </c>
      <c r="H29" s="47" t="s">
        <v>686</v>
      </c>
      <c r="I29" s="203"/>
      <c r="J29" s="258"/>
      <c r="K29" s="203"/>
      <c r="L29" s="203"/>
      <c r="M29" s="203"/>
    </row>
    <row r="30" spans="1:13">
      <c r="A30" s="249"/>
      <c r="B30" s="262"/>
      <c r="C30" s="254"/>
      <c r="D30" s="204"/>
      <c r="E30" s="204"/>
      <c r="F30" s="27">
        <v>3</v>
      </c>
      <c r="G30" s="27" t="s">
        <v>882</v>
      </c>
      <c r="H30" s="27"/>
      <c r="I30" s="204" t="s">
        <v>888</v>
      </c>
      <c r="J30" s="195"/>
      <c r="K30" s="204"/>
      <c r="L30" s="204"/>
      <c r="M30" s="204"/>
    </row>
    <row r="31" spans="1:13">
      <c r="A31" s="250">
        <v>13</v>
      </c>
      <c r="B31" s="262"/>
      <c r="C31" s="255" t="s">
        <v>889</v>
      </c>
      <c r="D31" s="202" t="s">
        <v>890</v>
      </c>
      <c r="E31" s="202" t="s">
        <v>786</v>
      </c>
      <c r="F31" s="27">
        <v>1</v>
      </c>
      <c r="G31" s="27" t="s">
        <v>837</v>
      </c>
      <c r="H31" s="27"/>
      <c r="I31" s="235" t="s">
        <v>891</v>
      </c>
      <c r="J31" s="238"/>
      <c r="K31" s="202"/>
      <c r="L31" s="202"/>
      <c r="M31" s="202"/>
    </row>
    <row r="32" spans="1:13">
      <c r="A32" s="257"/>
      <c r="B32" s="262"/>
      <c r="C32" s="256"/>
      <c r="D32" s="203"/>
      <c r="E32" s="203"/>
      <c r="F32" s="27">
        <v>2</v>
      </c>
      <c r="G32" s="27" t="s">
        <v>892</v>
      </c>
      <c r="H32" s="27" t="s">
        <v>893</v>
      </c>
      <c r="I32" s="203"/>
      <c r="J32" s="258"/>
      <c r="K32" s="203"/>
      <c r="L32" s="203"/>
      <c r="M32" s="203"/>
    </row>
    <row r="33" spans="1:13">
      <c r="A33" s="249"/>
      <c r="B33" s="262"/>
      <c r="C33" s="254"/>
      <c r="D33" s="204"/>
      <c r="E33" s="204"/>
      <c r="F33" s="27">
        <v>3</v>
      </c>
      <c r="G33" s="27" t="s">
        <v>882</v>
      </c>
      <c r="H33" s="27"/>
      <c r="I33" s="204" t="s">
        <v>894</v>
      </c>
      <c r="J33" s="195"/>
      <c r="K33" s="204"/>
      <c r="L33" s="204"/>
      <c r="M33" s="204"/>
    </row>
    <row r="34" spans="1:13">
      <c r="A34" s="250">
        <v>16</v>
      </c>
      <c r="B34" s="262"/>
      <c r="C34" s="255" t="s">
        <v>895</v>
      </c>
      <c r="D34" s="202" t="s">
        <v>896</v>
      </c>
      <c r="E34" s="235" t="s">
        <v>897</v>
      </c>
      <c r="F34" s="27">
        <v>1</v>
      </c>
      <c r="G34" s="27" t="s">
        <v>837</v>
      </c>
      <c r="H34" s="27"/>
      <c r="I34" s="235" t="s">
        <v>898</v>
      </c>
      <c r="J34" s="266"/>
      <c r="K34" s="235"/>
      <c r="L34" s="235"/>
      <c r="M34" s="235"/>
    </row>
    <row r="35" spans="1:13">
      <c r="A35" s="257"/>
      <c r="B35" s="262"/>
      <c r="C35" s="256"/>
      <c r="D35" s="203"/>
      <c r="E35" s="203"/>
      <c r="F35" s="27">
        <v>2</v>
      </c>
      <c r="G35" s="27" t="s">
        <v>899</v>
      </c>
      <c r="H35" s="27"/>
      <c r="I35" s="203"/>
      <c r="J35" s="258"/>
      <c r="K35" s="203"/>
      <c r="L35" s="203"/>
      <c r="M35" s="203"/>
    </row>
    <row r="36" spans="1:13">
      <c r="A36" s="249"/>
      <c r="B36" s="262"/>
      <c r="C36" s="254"/>
      <c r="D36" s="204"/>
      <c r="E36" s="204"/>
      <c r="F36" s="27">
        <v>3</v>
      </c>
      <c r="G36" s="27" t="s">
        <v>882</v>
      </c>
      <c r="H36" s="27"/>
      <c r="I36" s="204" t="s">
        <v>900</v>
      </c>
      <c r="J36" s="195"/>
      <c r="K36" s="204"/>
      <c r="L36" s="204"/>
      <c r="M36" s="204"/>
    </row>
    <row r="37" spans="1:13">
      <c r="A37" s="250">
        <v>17</v>
      </c>
      <c r="B37" s="262"/>
      <c r="C37" s="255" t="s">
        <v>901</v>
      </c>
      <c r="D37" s="202" t="s">
        <v>902</v>
      </c>
      <c r="E37" s="235" t="s">
        <v>897</v>
      </c>
      <c r="F37" s="27">
        <v>1</v>
      </c>
      <c r="G37" s="27" t="s">
        <v>837</v>
      </c>
      <c r="H37" s="27"/>
      <c r="I37" s="235" t="s">
        <v>903</v>
      </c>
      <c r="J37" s="266"/>
      <c r="K37" s="235"/>
      <c r="L37" s="235"/>
      <c r="M37" s="235"/>
    </row>
    <row r="38" spans="1:13">
      <c r="A38" s="257"/>
      <c r="B38" s="262"/>
      <c r="C38" s="256"/>
      <c r="D38" s="203"/>
      <c r="E38" s="203"/>
      <c r="F38" s="27">
        <v>2</v>
      </c>
      <c r="G38" s="27" t="s">
        <v>904</v>
      </c>
      <c r="H38" s="27"/>
      <c r="I38" s="203"/>
      <c r="J38" s="258"/>
      <c r="K38" s="203"/>
      <c r="L38" s="203"/>
      <c r="M38" s="203"/>
    </row>
    <row r="39" spans="1:13">
      <c r="A39" s="249"/>
      <c r="B39" s="262"/>
      <c r="C39" s="254"/>
      <c r="D39" s="204"/>
      <c r="E39" s="204"/>
      <c r="F39" s="27">
        <v>3</v>
      </c>
      <c r="G39" s="27" t="s">
        <v>882</v>
      </c>
      <c r="H39" s="27"/>
      <c r="I39" s="204" t="s">
        <v>905</v>
      </c>
      <c r="J39" s="195"/>
      <c r="K39" s="204"/>
      <c r="L39" s="204"/>
      <c r="M39" s="204"/>
    </row>
    <row r="40" spans="1:13">
      <c r="A40" s="250">
        <v>18</v>
      </c>
      <c r="B40" s="262"/>
      <c r="C40" s="255" t="s">
        <v>906</v>
      </c>
      <c r="D40" s="202" t="s">
        <v>907</v>
      </c>
      <c r="E40" s="235" t="s">
        <v>897</v>
      </c>
      <c r="F40" s="27">
        <v>1</v>
      </c>
      <c r="G40" s="27" t="s">
        <v>837</v>
      </c>
      <c r="H40" s="27"/>
      <c r="I40" s="235" t="s">
        <v>908</v>
      </c>
      <c r="J40" s="266"/>
      <c r="K40" s="235"/>
      <c r="L40" s="235"/>
      <c r="M40" s="235"/>
    </row>
    <row r="41" spans="1:13">
      <c r="A41" s="257"/>
      <c r="B41" s="262"/>
      <c r="C41" s="256"/>
      <c r="D41" s="203"/>
      <c r="E41" s="203"/>
      <c r="F41" s="27">
        <v>2</v>
      </c>
      <c r="G41" s="27" t="s">
        <v>909</v>
      </c>
      <c r="H41" s="27" t="s">
        <v>910</v>
      </c>
      <c r="I41" s="203"/>
      <c r="J41" s="258"/>
      <c r="K41" s="203"/>
      <c r="L41" s="203"/>
      <c r="M41" s="203"/>
    </row>
    <row r="42" spans="1:13">
      <c r="A42" s="249"/>
      <c r="B42" s="262"/>
      <c r="C42" s="254"/>
      <c r="D42" s="204"/>
      <c r="E42" s="204"/>
      <c r="F42" s="27">
        <v>3</v>
      </c>
      <c r="G42" s="27" t="s">
        <v>882</v>
      </c>
      <c r="H42" s="27"/>
      <c r="I42" s="204" t="s">
        <v>911</v>
      </c>
      <c r="J42" s="195"/>
      <c r="K42" s="204"/>
      <c r="L42" s="204"/>
      <c r="M42" s="204"/>
    </row>
    <row r="43" spans="1:13">
      <c r="A43" s="250">
        <v>19</v>
      </c>
      <c r="B43" s="262"/>
      <c r="C43" s="255" t="s">
        <v>912</v>
      </c>
      <c r="D43" s="202" t="s">
        <v>913</v>
      </c>
      <c r="E43" s="235" t="s">
        <v>897</v>
      </c>
      <c r="F43" s="27">
        <v>1</v>
      </c>
      <c r="G43" s="27" t="s">
        <v>837</v>
      </c>
      <c r="H43" s="27"/>
      <c r="I43" s="235" t="s">
        <v>914</v>
      </c>
      <c r="J43" s="266"/>
      <c r="K43" s="235"/>
      <c r="L43" s="235"/>
      <c r="M43" s="235"/>
    </row>
    <row r="44" spans="1:13">
      <c r="A44" s="257"/>
      <c r="B44" s="262"/>
      <c r="C44" s="256"/>
      <c r="D44" s="203"/>
      <c r="E44" s="203"/>
      <c r="F44" s="27">
        <v>2</v>
      </c>
      <c r="G44" s="27" t="s">
        <v>915</v>
      </c>
      <c r="H44" s="27" t="s">
        <v>916</v>
      </c>
      <c r="I44" s="203"/>
      <c r="J44" s="258"/>
      <c r="K44" s="203"/>
      <c r="L44" s="203"/>
      <c r="M44" s="203"/>
    </row>
    <row r="45" spans="1:13">
      <c r="A45" s="249"/>
      <c r="B45" s="262"/>
      <c r="C45" s="254"/>
      <c r="D45" s="204"/>
      <c r="E45" s="204"/>
      <c r="F45" s="27">
        <v>3</v>
      </c>
      <c r="G45" s="27" t="s">
        <v>882</v>
      </c>
      <c r="H45" s="27"/>
      <c r="I45" s="204" t="s">
        <v>917</v>
      </c>
      <c r="J45" s="195"/>
      <c r="K45" s="204"/>
      <c r="L45" s="204"/>
      <c r="M45" s="204"/>
    </row>
    <row r="46" spans="1:13">
      <c r="A46" s="250">
        <v>20</v>
      </c>
      <c r="B46" s="263"/>
      <c r="C46" s="264" t="s">
        <v>918</v>
      </c>
      <c r="D46" s="234" t="s">
        <v>919</v>
      </c>
      <c r="E46" s="236" t="s">
        <v>897</v>
      </c>
      <c r="F46" s="27">
        <v>1</v>
      </c>
      <c r="G46" s="27" t="s">
        <v>837</v>
      </c>
      <c r="H46" s="27"/>
      <c r="I46" s="236" t="s">
        <v>920</v>
      </c>
      <c r="J46" s="265"/>
      <c r="K46" s="236"/>
      <c r="L46" s="236"/>
      <c r="M46" s="236"/>
    </row>
    <row r="47" spans="1:13" ht="15" customHeight="1">
      <c r="A47" s="249"/>
      <c r="B47" s="263"/>
      <c r="C47" s="264"/>
      <c r="D47" s="234"/>
      <c r="E47" s="234"/>
      <c r="F47" s="27">
        <v>2</v>
      </c>
      <c r="G47" s="27" t="s">
        <v>882</v>
      </c>
      <c r="H47" s="27"/>
      <c r="I47" s="234" t="s">
        <v>921</v>
      </c>
      <c r="J47" s="190"/>
      <c r="K47" s="234"/>
      <c r="L47" s="234"/>
      <c r="M47" s="234"/>
    </row>
    <row r="48" spans="1:13" ht="30.75" customHeight="1">
      <c r="A48" s="250">
        <v>21</v>
      </c>
      <c r="B48" s="263"/>
      <c r="C48" s="264" t="s">
        <v>922</v>
      </c>
      <c r="D48" s="234" t="s">
        <v>923</v>
      </c>
      <c r="E48" s="234" t="s">
        <v>924</v>
      </c>
      <c r="F48" s="27">
        <v>1</v>
      </c>
      <c r="G48" s="27" t="s">
        <v>869</v>
      </c>
      <c r="H48" s="27"/>
      <c r="I48" s="236" t="s">
        <v>925</v>
      </c>
      <c r="J48" s="190"/>
      <c r="K48" s="234"/>
      <c r="L48" s="234"/>
      <c r="M48" s="234"/>
    </row>
    <row r="49" spans="1:13" ht="15" customHeight="1">
      <c r="A49" s="249"/>
      <c r="B49" s="263"/>
      <c r="C49" s="264"/>
      <c r="D49" s="234"/>
      <c r="E49" s="234"/>
      <c r="F49" s="27">
        <v>2</v>
      </c>
      <c r="G49" s="27"/>
      <c r="H49" s="27"/>
      <c r="I49" s="234" t="s">
        <v>926</v>
      </c>
      <c r="J49" s="190"/>
      <c r="K49" s="234"/>
      <c r="L49" s="234"/>
      <c r="M49" s="234"/>
    </row>
    <row r="50" spans="1:13" ht="30" customHeight="1">
      <c r="A50" s="49">
        <v>26</v>
      </c>
      <c r="B50" s="259" t="s">
        <v>927</v>
      </c>
      <c r="C50" s="50" t="s">
        <v>928</v>
      </c>
      <c r="D50" s="33" t="s">
        <v>929</v>
      </c>
      <c r="E50" s="51" t="s">
        <v>930</v>
      </c>
      <c r="F50" s="33">
        <v>1</v>
      </c>
      <c r="G50" s="33" t="s">
        <v>931</v>
      </c>
      <c r="H50" s="33" t="s">
        <v>932</v>
      </c>
      <c r="I50" s="52" t="s">
        <v>933</v>
      </c>
      <c r="J50" s="53"/>
      <c r="K50" s="53"/>
      <c r="L50" s="51"/>
      <c r="M50" s="51"/>
    </row>
    <row r="51" spans="1:13" ht="42.75">
      <c r="A51" s="49">
        <v>27</v>
      </c>
      <c r="B51" s="259"/>
      <c r="C51" s="50" t="s">
        <v>934</v>
      </c>
      <c r="D51" s="33" t="s">
        <v>935</v>
      </c>
      <c r="E51" s="51" t="s">
        <v>936</v>
      </c>
      <c r="F51" s="33">
        <v>1</v>
      </c>
      <c r="G51" s="33" t="s">
        <v>937</v>
      </c>
      <c r="H51" s="33" t="s">
        <v>938</v>
      </c>
      <c r="I51" s="52" t="s">
        <v>939</v>
      </c>
      <c r="J51" s="53" t="s">
        <v>940</v>
      </c>
      <c r="K51" s="53"/>
      <c r="L51" s="51" t="s">
        <v>648</v>
      </c>
      <c r="M51" s="51"/>
    </row>
    <row r="52" spans="1:13" ht="28.5">
      <c r="A52" s="49">
        <v>28</v>
      </c>
      <c r="B52" s="259"/>
      <c r="C52" s="50" t="s">
        <v>941</v>
      </c>
      <c r="D52" s="33" t="s">
        <v>942</v>
      </c>
      <c r="E52" s="51" t="s">
        <v>943</v>
      </c>
      <c r="F52" s="33">
        <v>1</v>
      </c>
      <c r="G52" s="33" t="s">
        <v>944</v>
      </c>
      <c r="H52" s="33" t="s">
        <v>945</v>
      </c>
      <c r="I52" s="52" t="s">
        <v>946</v>
      </c>
      <c r="J52" s="53"/>
      <c r="K52" s="53"/>
      <c r="L52" s="51"/>
      <c r="M52" s="51"/>
    </row>
    <row r="53" spans="1:13" ht="28.5">
      <c r="A53" s="49">
        <v>29</v>
      </c>
      <c r="B53" s="259"/>
      <c r="C53" s="50" t="s">
        <v>947</v>
      </c>
      <c r="D53" s="33" t="s">
        <v>948</v>
      </c>
      <c r="E53" s="51" t="s">
        <v>949</v>
      </c>
      <c r="F53" s="33">
        <v>1</v>
      </c>
      <c r="G53" s="33" t="s">
        <v>950</v>
      </c>
      <c r="H53" s="33" t="s">
        <v>951</v>
      </c>
      <c r="I53" s="52" t="s">
        <v>952</v>
      </c>
      <c r="J53" s="53"/>
      <c r="K53" s="53"/>
      <c r="L53" s="51"/>
      <c r="M53" s="51"/>
    </row>
    <row r="54" spans="1:13" ht="28.5">
      <c r="A54" s="49">
        <v>30</v>
      </c>
      <c r="B54" s="259"/>
      <c r="C54" s="50" t="s">
        <v>953</v>
      </c>
      <c r="D54" s="33" t="s">
        <v>954</v>
      </c>
      <c r="E54" s="51" t="s">
        <v>943</v>
      </c>
      <c r="F54" s="33">
        <v>1</v>
      </c>
      <c r="G54" s="33" t="s">
        <v>955</v>
      </c>
      <c r="H54" s="33" t="s">
        <v>932</v>
      </c>
      <c r="I54" s="52" t="s">
        <v>956</v>
      </c>
      <c r="J54" s="53"/>
      <c r="K54" s="53"/>
      <c r="L54" s="51"/>
      <c r="M54" s="51"/>
    </row>
    <row r="55" spans="1:13" ht="28.5">
      <c r="A55" s="49">
        <v>31</v>
      </c>
      <c r="B55" s="259"/>
      <c r="C55" s="50" t="s">
        <v>957</v>
      </c>
      <c r="D55" s="33" t="s">
        <v>958</v>
      </c>
      <c r="E55" s="51" t="s">
        <v>959</v>
      </c>
      <c r="F55" s="33">
        <v>1</v>
      </c>
      <c r="G55" s="33" t="s">
        <v>960</v>
      </c>
      <c r="H55" s="33" t="s">
        <v>932</v>
      </c>
      <c r="I55" s="52" t="s">
        <v>961</v>
      </c>
      <c r="J55" s="53" t="s">
        <v>962</v>
      </c>
      <c r="K55" s="53"/>
      <c r="L55" s="51"/>
      <c r="M55" s="51"/>
    </row>
    <row r="56" spans="1:13" ht="56.25" customHeight="1">
      <c r="A56" s="49">
        <v>32</v>
      </c>
      <c r="B56" s="259"/>
      <c r="C56" s="50" t="s">
        <v>963</v>
      </c>
      <c r="D56" s="33" t="s">
        <v>964</v>
      </c>
      <c r="E56" s="51" t="s">
        <v>825</v>
      </c>
      <c r="F56" s="33">
        <v>1</v>
      </c>
      <c r="G56" s="33" t="s">
        <v>960</v>
      </c>
      <c r="H56" s="33" t="s">
        <v>932</v>
      </c>
      <c r="I56" s="52" t="s">
        <v>965</v>
      </c>
      <c r="J56" s="53" t="s">
        <v>966</v>
      </c>
      <c r="K56" s="53"/>
      <c r="L56" s="51" t="s">
        <v>648</v>
      </c>
      <c r="M56" s="51"/>
    </row>
    <row r="57" spans="1:13" ht="28.5">
      <c r="A57" s="49">
        <v>33</v>
      </c>
      <c r="B57" s="259"/>
      <c r="C57" s="50" t="s">
        <v>967</v>
      </c>
      <c r="D57" s="33" t="s">
        <v>968</v>
      </c>
      <c r="E57" s="51" t="s">
        <v>825</v>
      </c>
      <c r="F57" s="33">
        <v>1</v>
      </c>
      <c r="G57" s="33" t="s">
        <v>969</v>
      </c>
      <c r="H57" s="33" t="s">
        <v>970</v>
      </c>
      <c r="I57" s="52" t="s">
        <v>971</v>
      </c>
      <c r="J57" s="53"/>
      <c r="K57" s="53"/>
      <c r="L57" s="51"/>
      <c r="M57" s="51"/>
    </row>
    <row r="58" spans="1:13" ht="28.5">
      <c r="A58" s="49">
        <v>34</v>
      </c>
      <c r="B58" s="259"/>
      <c r="C58" s="50" t="s">
        <v>972</v>
      </c>
      <c r="D58" s="33" t="s">
        <v>973</v>
      </c>
      <c r="E58" s="51" t="s">
        <v>974</v>
      </c>
      <c r="F58" s="33">
        <v>1</v>
      </c>
      <c r="G58" s="33" t="s">
        <v>975</v>
      </c>
      <c r="H58" s="33" t="s">
        <v>976</v>
      </c>
      <c r="I58" s="52" t="s">
        <v>977</v>
      </c>
      <c r="J58" s="53"/>
      <c r="K58" s="53"/>
      <c r="L58" s="51"/>
      <c r="M58" s="51"/>
    </row>
    <row r="59" spans="1:13" ht="28.5">
      <c r="A59" s="54">
        <v>35</v>
      </c>
      <c r="B59" s="260"/>
      <c r="C59" s="55" t="s">
        <v>978</v>
      </c>
      <c r="D59" s="56" t="s">
        <v>979</v>
      </c>
      <c r="E59" s="57" t="s">
        <v>980</v>
      </c>
      <c r="F59" s="56">
        <v>1</v>
      </c>
      <c r="G59" s="56" t="s">
        <v>975</v>
      </c>
      <c r="H59" s="56" t="s">
        <v>981</v>
      </c>
      <c r="I59" s="58" t="s">
        <v>982</v>
      </c>
      <c r="J59" s="53"/>
      <c r="K59" s="53"/>
      <c r="L59" s="57"/>
      <c r="M59" s="57"/>
    </row>
  </sheetData>
  <mergeCells count="178">
    <mergeCell ref="J34:J36"/>
    <mergeCell ref="I37:I39"/>
    <mergeCell ref="J37:J39"/>
    <mergeCell ref="I31:I33"/>
    <mergeCell ref="I11:I12"/>
    <mergeCell ref="J11:J12"/>
    <mergeCell ref="I13:I14"/>
    <mergeCell ref="J13:J14"/>
    <mergeCell ref="I15:I16"/>
    <mergeCell ref="J15:J16"/>
    <mergeCell ref="I46:I47"/>
    <mergeCell ref="J46:J47"/>
    <mergeCell ref="I48:I49"/>
    <mergeCell ref="J48:J49"/>
    <mergeCell ref="J40:J42"/>
    <mergeCell ref="I43:I45"/>
    <mergeCell ref="J43:J45"/>
    <mergeCell ref="D43:D45"/>
    <mergeCell ref="E43:E45"/>
    <mergeCell ref="E34:E36"/>
    <mergeCell ref="I40:I42"/>
    <mergeCell ref="I34:I36"/>
    <mergeCell ref="E37:E39"/>
    <mergeCell ref="E40:E42"/>
    <mergeCell ref="D34:D36"/>
    <mergeCell ref="D40:D42"/>
    <mergeCell ref="D37:D39"/>
    <mergeCell ref="B50:B59"/>
    <mergeCell ref="B25:B49"/>
    <mergeCell ref="C46:C47"/>
    <mergeCell ref="C48:C49"/>
    <mergeCell ref="E46:E47"/>
    <mergeCell ref="C43:C45"/>
    <mergeCell ref="C34:C36"/>
    <mergeCell ref="C37:C39"/>
    <mergeCell ref="C40:C42"/>
    <mergeCell ref="D28:D30"/>
    <mergeCell ref="E28:E30"/>
    <mergeCell ref="E31:E33"/>
    <mergeCell ref="D31:D33"/>
    <mergeCell ref="E48:E49"/>
    <mergeCell ref="D48:D49"/>
    <mergeCell ref="D46:D47"/>
    <mergeCell ref="J31:J33"/>
    <mergeCell ref="J25:J27"/>
    <mergeCell ref="I28:I30"/>
    <mergeCell ref="J23:J24"/>
    <mergeCell ref="I21:I22"/>
    <mergeCell ref="J21:J22"/>
    <mergeCell ref="J28:J30"/>
    <mergeCell ref="I25:I27"/>
    <mergeCell ref="D7:D8"/>
    <mergeCell ref="E13:E14"/>
    <mergeCell ref="C23:C24"/>
    <mergeCell ref="D21:D22"/>
    <mergeCell ref="D23:D24"/>
    <mergeCell ref="C13:C14"/>
    <mergeCell ref="D9:D10"/>
    <mergeCell ref="E9:E10"/>
    <mergeCell ref="E25:E27"/>
    <mergeCell ref="D25:D27"/>
    <mergeCell ref="E19:E20"/>
    <mergeCell ref="A46:A47"/>
    <mergeCell ref="A48:A49"/>
    <mergeCell ref="C28:C30"/>
    <mergeCell ref="A25:A27"/>
    <mergeCell ref="A28:A30"/>
    <mergeCell ref="A31:A33"/>
    <mergeCell ref="A34:A36"/>
    <mergeCell ref="C31:C33"/>
    <mergeCell ref="C25:C27"/>
    <mergeCell ref="A37:A39"/>
    <mergeCell ref="A40:A42"/>
    <mergeCell ref="A43:A45"/>
    <mergeCell ref="A23:A24"/>
    <mergeCell ref="J19:J20"/>
    <mergeCell ref="C5:C6"/>
    <mergeCell ref="C15:C16"/>
    <mergeCell ref="C17:C18"/>
    <mergeCell ref="C19:C20"/>
    <mergeCell ref="C21:C22"/>
    <mergeCell ref="C9:C10"/>
    <mergeCell ref="C11:C12"/>
    <mergeCell ref="I19:I20"/>
    <mergeCell ref="C7:C8"/>
    <mergeCell ref="E17:E18"/>
    <mergeCell ref="D17:D18"/>
    <mergeCell ref="D15:D16"/>
    <mergeCell ref="E21:E22"/>
    <mergeCell ref="J17:J18"/>
    <mergeCell ref="K5:K6"/>
    <mergeCell ref="L3:L4"/>
    <mergeCell ref="M3:M4"/>
    <mergeCell ref="A4:J4"/>
    <mergeCell ref="B5:B2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E5:E6"/>
    <mergeCell ref="K3:K4"/>
    <mergeCell ref="D5:D6"/>
    <mergeCell ref="E23:E24"/>
    <mergeCell ref="I7:I8"/>
    <mergeCell ref="J7:J8"/>
    <mergeCell ref="I9:I10"/>
    <mergeCell ref="J9:J10"/>
    <mergeCell ref="I23:I24"/>
    <mergeCell ref="I5:I6"/>
    <mergeCell ref="J5:J6"/>
    <mergeCell ref="E11:E12"/>
    <mergeCell ref="E15:E16"/>
    <mergeCell ref="D19:D20"/>
    <mergeCell ref="D11:D12"/>
    <mergeCell ref="D13:D14"/>
    <mergeCell ref="I17:I18"/>
    <mergeCell ref="E7:E8"/>
    <mergeCell ref="K23:K24"/>
    <mergeCell ref="L23:L24"/>
    <mergeCell ref="M23:M24"/>
    <mergeCell ref="M28:M30"/>
    <mergeCell ref="L5:L6"/>
    <mergeCell ref="M5:M6"/>
    <mergeCell ref="K15:K16"/>
    <mergeCell ref="L15:L16"/>
    <mergeCell ref="M15:M16"/>
    <mergeCell ref="K7:K8"/>
    <mergeCell ref="L7:L8"/>
    <mergeCell ref="M7:M8"/>
    <mergeCell ref="K9:K10"/>
    <mergeCell ref="L9:L10"/>
    <mergeCell ref="M9:M10"/>
    <mergeCell ref="K19:K20"/>
    <mergeCell ref="L19:L20"/>
    <mergeCell ref="M19:M20"/>
    <mergeCell ref="K21:K22"/>
    <mergeCell ref="L21:L22"/>
    <mergeCell ref="M21:M22"/>
    <mergeCell ref="K17:K18"/>
    <mergeCell ref="L17:L18"/>
    <mergeCell ref="M17:M18"/>
    <mergeCell ref="K11:K12"/>
    <mergeCell ref="L11:L12"/>
    <mergeCell ref="M11:M12"/>
    <mergeCell ref="K13:K14"/>
    <mergeCell ref="L13:L14"/>
    <mergeCell ref="M13:M14"/>
    <mergeCell ref="L37:L39"/>
    <mergeCell ref="M37:M39"/>
    <mergeCell ref="K37:K39"/>
    <mergeCell ref="K25:K27"/>
    <mergeCell ref="L25:L27"/>
    <mergeCell ref="M25:M27"/>
    <mergeCell ref="K28:K30"/>
    <mergeCell ref="L28:L30"/>
    <mergeCell ref="K31:K33"/>
    <mergeCell ref="L31:L33"/>
    <mergeCell ref="M31:M33"/>
    <mergeCell ref="K34:K36"/>
    <mergeCell ref="L34:L36"/>
    <mergeCell ref="M34:M36"/>
    <mergeCell ref="K48:K49"/>
    <mergeCell ref="L48:L49"/>
    <mergeCell ref="M48:M49"/>
    <mergeCell ref="K40:K42"/>
    <mergeCell ref="L40:L42"/>
    <mergeCell ref="M40:M42"/>
    <mergeCell ref="K43:K45"/>
    <mergeCell ref="L43:L45"/>
    <mergeCell ref="M43:M45"/>
    <mergeCell ref="K46:K47"/>
    <mergeCell ref="L46:L47"/>
    <mergeCell ref="M46:M47"/>
  </mergeCells>
  <hyperlinks>
    <hyperlink ref="H29" r:id="rId1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06434-8B69-4E35-A0B7-FEAFAAD7460C}">
  <dimension ref="A1:M130"/>
  <sheetViews>
    <sheetView topLeftCell="H1" zoomScaleNormal="100" workbookViewId="0">
      <selection activeCell="J71" sqref="J71:J72"/>
    </sheetView>
  </sheetViews>
  <sheetFormatPr defaultRowHeight="15"/>
  <cols>
    <col min="1" max="1" width="4" style="16" bestFit="1" customWidth="1"/>
    <col min="2" max="2" width="24.42578125" style="16" customWidth="1"/>
    <col min="3" max="3" width="12.5703125" style="16" bestFit="1" customWidth="1"/>
    <col min="4" max="4" width="33.28515625" style="16" customWidth="1"/>
    <col min="5" max="5" width="29.85546875" style="16" bestFit="1" customWidth="1"/>
    <col min="6" max="6" width="10" style="16" customWidth="1"/>
    <col min="7" max="7" width="61.42578125" style="16" customWidth="1"/>
    <col min="8" max="8" width="33.85546875" style="16" customWidth="1"/>
    <col min="9" max="9" width="70.42578125" style="16" customWidth="1"/>
    <col min="10" max="10" width="73.5703125" style="16" customWidth="1"/>
    <col min="11" max="13" width="19.7109375" style="16" customWidth="1"/>
    <col min="14" max="35" width="9.140625" style="16" customWidth="1"/>
    <col min="36" max="16384" width="9.140625" style="16"/>
  </cols>
  <sheetData>
    <row r="1" spans="1:13" ht="45.75" customHeight="1">
      <c r="A1" s="17" t="s">
        <v>222</v>
      </c>
      <c r="B1" s="18" t="s">
        <v>62</v>
      </c>
      <c r="C1" s="19" t="s">
        <v>480</v>
      </c>
      <c r="D1" s="19" t="s">
        <v>481</v>
      </c>
      <c r="E1" s="19" t="s">
        <v>639</v>
      </c>
      <c r="F1" s="20" t="s">
        <v>983</v>
      </c>
      <c r="G1" s="19" t="s">
        <v>984</v>
      </c>
      <c r="H1" s="19" t="s">
        <v>485</v>
      </c>
      <c r="I1" s="19" t="s">
        <v>486</v>
      </c>
      <c r="J1" s="21" t="s">
        <v>640</v>
      </c>
      <c r="K1" s="251" t="s">
        <v>488</v>
      </c>
      <c r="L1" s="240" t="s">
        <v>489</v>
      </c>
      <c r="M1" s="242" t="s">
        <v>69</v>
      </c>
    </row>
    <row r="2" spans="1:13" ht="20.25">
      <c r="A2" s="213" t="s">
        <v>43</v>
      </c>
      <c r="B2" s="213"/>
      <c r="C2" s="213"/>
      <c r="D2" s="213"/>
      <c r="E2" s="213"/>
      <c r="F2" s="213"/>
      <c r="G2" s="213"/>
      <c r="H2" s="213"/>
      <c r="I2" s="213"/>
      <c r="J2" s="284"/>
      <c r="K2" s="286"/>
      <c r="L2" s="279"/>
      <c r="M2" s="283"/>
    </row>
    <row r="3" spans="1:13" ht="22.5" customHeight="1">
      <c r="A3" s="274">
        <v>1</v>
      </c>
      <c r="B3" s="282" t="s">
        <v>985</v>
      </c>
      <c r="C3" s="287" t="s">
        <v>816</v>
      </c>
      <c r="D3" s="280" t="s">
        <v>986</v>
      </c>
      <c r="E3" s="280" t="s">
        <v>987</v>
      </c>
      <c r="F3" s="32">
        <v>1</v>
      </c>
      <c r="G3" s="32" t="s">
        <v>988</v>
      </c>
      <c r="H3" s="32" t="s">
        <v>989</v>
      </c>
      <c r="I3" s="280" t="s">
        <v>990</v>
      </c>
      <c r="J3" s="299" t="s">
        <v>991</v>
      </c>
      <c r="K3" s="285" t="s">
        <v>992</v>
      </c>
      <c r="L3" s="280" t="s">
        <v>498</v>
      </c>
      <c r="M3" s="281" t="str">
        <f>HYPERLINK("D:\RaoVat_AutomationTesting\Screenshots\Fail_CP01.png", "Xem ảnh lỗi")</f>
        <v>Xem ảnh lỗi</v>
      </c>
    </row>
    <row r="4" spans="1:13" ht="22.5" customHeight="1">
      <c r="A4" s="275"/>
      <c r="B4" s="282"/>
      <c r="C4" s="278"/>
      <c r="D4" s="268"/>
      <c r="E4" s="268"/>
      <c r="F4" s="31">
        <v>2</v>
      </c>
      <c r="G4" s="31" t="s">
        <v>993</v>
      </c>
      <c r="H4" s="31"/>
      <c r="I4" s="268"/>
      <c r="J4" s="298"/>
      <c r="K4" s="268"/>
      <c r="L4" s="268"/>
      <c r="M4" s="268"/>
    </row>
    <row r="5" spans="1:13" ht="22.5" customHeight="1">
      <c r="A5" s="276">
        <v>2</v>
      </c>
      <c r="B5" s="282"/>
      <c r="C5" s="277" t="s">
        <v>823</v>
      </c>
      <c r="D5" s="267" t="s">
        <v>994</v>
      </c>
      <c r="E5" s="267" t="s">
        <v>987</v>
      </c>
      <c r="F5" s="31">
        <v>1</v>
      </c>
      <c r="G5" s="31" t="s">
        <v>995</v>
      </c>
      <c r="H5" s="31" t="s">
        <v>996</v>
      </c>
      <c r="I5" s="267" t="s">
        <v>997</v>
      </c>
      <c r="J5" s="297" t="s">
        <v>998</v>
      </c>
      <c r="K5" s="270" t="s">
        <v>992</v>
      </c>
      <c r="L5" s="267" t="s">
        <v>498</v>
      </c>
      <c r="M5" s="271" t="str">
        <f>HYPERLINK("D:\RaoVat_AutomationTesting\Screenshots\Pass_CP02.png", "Xem ảnh lỗi")</f>
        <v>Xem ảnh lỗi</v>
      </c>
    </row>
    <row r="6" spans="1:13" ht="22.5" customHeight="1">
      <c r="A6" s="275"/>
      <c r="B6" s="282"/>
      <c r="C6" s="278"/>
      <c r="D6" s="268"/>
      <c r="E6" s="268"/>
      <c r="F6" s="31">
        <v>2</v>
      </c>
      <c r="G6" s="31" t="s">
        <v>993</v>
      </c>
      <c r="H6" s="31"/>
      <c r="I6" s="268"/>
      <c r="J6" s="298"/>
      <c r="K6" s="268"/>
      <c r="L6" s="268"/>
      <c r="M6" s="268"/>
    </row>
    <row r="7" spans="1:13" ht="22.5" customHeight="1">
      <c r="A7" s="276">
        <v>3</v>
      </c>
      <c r="B7" s="282"/>
      <c r="C7" s="277" t="s">
        <v>999</v>
      </c>
      <c r="D7" s="267" t="s">
        <v>1000</v>
      </c>
      <c r="E7" s="267" t="s">
        <v>1001</v>
      </c>
      <c r="F7" s="31">
        <v>1</v>
      </c>
      <c r="G7" s="31" t="s">
        <v>1002</v>
      </c>
      <c r="H7" s="31" t="s">
        <v>1003</v>
      </c>
      <c r="I7" s="267" t="s">
        <v>1004</v>
      </c>
      <c r="J7" s="297" t="s">
        <v>1005</v>
      </c>
      <c r="K7" s="270" t="s">
        <v>992</v>
      </c>
      <c r="L7" s="267" t="s">
        <v>498</v>
      </c>
      <c r="M7" s="271" t="str">
        <f>HYPERLINK("D:\RaoVat_AutomationTesting\Screenshots\Pass_CP03.png", "Xem ảnh lỗi")</f>
        <v>Xem ảnh lỗi</v>
      </c>
    </row>
    <row r="8" spans="1:13" ht="22.5" customHeight="1">
      <c r="A8" s="275"/>
      <c r="B8" s="282"/>
      <c r="C8" s="278"/>
      <c r="D8" s="268"/>
      <c r="E8" s="268"/>
      <c r="F8" s="31">
        <v>2</v>
      </c>
      <c r="G8" s="31" t="s">
        <v>993</v>
      </c>
      <c r="H8" s="31"/>
      <c r="I8" s="268"/>
      <c r="J8" s="298"/>
      <c r="K8" s="268"/>
      <c r="L8" s="268"/>
      <c r="M8" s="268"/>
    </row>
    <row r="9" spans="1:13" ht="22.5" customHeight="1">
      <c r="A9" s="276">
        <v>4</v>
      </c>
      <c r="B9" s="282"/>
      <c r="C9" s="277" t="s">
        <v>1006</v>
      </c>
      <c r="D9" s="267" t="s">
        <v>1007</v>
      </c>
      <c r="E9" s="267" t="s">
        <v>1001</v>
      </c>
      <c r="F9" s="31">
        <v>1</v>
      </c>
      <c r="G9" s="31" t="s">
        <v>1008</v>
      </c>
      <c r="H9" s="31" t="s">
        <v>1009</v>
      </c>
      <c r="I9" s="267" t="s">
        <v>1010</v>
      </c>
      <c r="J9" s="297" t="s">
        <v>1011</v>
      </c>
      <c r="K9" s="270" t="s">
        <v>992</v>
      </c>
      <c r="L9" s="267" t="s">
        <v>498</v>
      </c>
      <c r="M9" s="271" t="str">
        <f>HYPERLINK("D:\RaoVat_AutomationTesting\Screenshots\Pass_CP04.png", "Xem ảnh lỗi")</f>
        <v>Xem ảnh lỗi</v>
      </c>
    </row>
    <row r="10" spans="1:13" ht="22.5" customHeight="1">
      <c r="A10" s="275"/>
      <c r="B10" s="282"/>
      <c r="C10" s="278"/>
      <c r="D10" s="268"/>
      <c r="E10" s="268"/>
      <c r="F10" s="31">
        <v>2</v>
      </c>
      <c r="G10" s="31" t="s">
        <v>993</v>
      </c>
      <c r="H10" s="31"/>
      <c r="I10" s="268"/>
      <c r="J10" s="298"/>
      <c r="K10" s="268"/>
      <c r="L10" s="268"/>
      <c r="M10" s="268"/>
    </row>
    <row r="11" spans="1:13" ht="22.5" customHeight="1">
      <c r="A11" s="276">
        <v>5</v>
      </c>
      <c r="B11" s="282"/>
      <c r="C11" s="277" t="s">
        <v>1012</v>
      </c>
      <c r="D11" s="267" t="s">
        <v>1013</v>
      </c>
      <c r="E11" s="267" t="s">
        <v>1001</v>
      </c>
      <c r="F11" s="31">
        <v>1</v>
      </c>
      <c r="G11" s="31" t="s">
        <v>1014</v>
      </c>
      <c r="H11" s="31" t="s">
        <v>1015</v>
      </c>
      <c r="I11" s="267" t="s">
        <v>1016</v>
      </c>
      <c r="J11" s="297" t="s">
        <v>1017</v>
      </c>
      <c r="K11" s="273" t="s">
        <v>497</v>
      </c>
      <c r="L11" s="267" t="s">
        <v>498</v>
      </c>
      <c r="M11" s="271" t="str">
        <f>HYPERLINK("D:\RaoVat_AutomationTesting\Screenshots\Fail_CP05.png", "Xem ảnh lỗi")</f>
        <v>Xem ảnh lỗi</v>
      </c>
    </row>
    <row r="12" spans="1:13" ht="32.25" customHeight="1">
      <c r="A12" s="275"/>
      <c r="B12" s="282"/>
      <c r="C12" s="278"/>
      <c r="D12" s="268"/>
      <c r="E12" s="268"/>
      <c r="F12" s="31">
        <v>2</v>
      </c>
      <c r="G12" s="31" t="s">
        <v>1018</v>
      </c>
      <c r="H12" s="31"/>
      <c r="I12" s="268"/>
      <c r="J12" s="298"/>
      <c r="K12" s="268"/>
      <c r="L12" s="268"/>
      <c r="M12" s="268"/>
    </row>
    <row r="13" spans="1:13" ht="22.5" customHeight="1">
      <c r="A13" s="276">
        <v>6</v>
      </c>
      <c r="B13" s="282"/>
      <c r="C13" s="277" t="s">
        <v>1019</v>
      </c>
      <c r="D13" s="267" t="s">
        <v>1020</v>
      </c>
      <c r="E13" s="267" t="s">
        <v>1001</v>
      </c>
      <c r="F13" s="31">
        <v>1</v>
      </c>
      <c r="G13" s="31" t="s">
        <v>1021</v>
      </c>
      <c r="H13" s="31" t="s">
        <v>1022</v>
      </c>
      <c r="I13" s="267" t="s">
        <v>1023</v>
      </c>
      <c r="J13" s="297" t="s">
        <v>1024</v>
      </c>
      <c r="K13" s="270" t="s">
        <v>992</v>
      </c>
      <c r="L13" s="267" t="s">
        <v>498</v>
      </c>
      <c r="M13" s="271" t="str">
        <f>HYPERLINK("D:\RaoVat_AutomationTesting\Screenshots\Pass_CP06.png", "Xem ảnh lỗi")</f>
        <v>Xem ảnh lỗi</v>
      </c>
    </row>
    <row r="14" spans="1:13" ht="22.5" customHeight="1">
      <c r="A14" s="275"/>
      <c r="B14" s="282"/>
      <c r="C14" s="278"/>
      <c r="D14" s="268"/>
      <c r="E14" s="268"/>
      <c r="F14" s="31">
        <v>2</v>
      </c>
      <c r="G14" s="31" t="s">
        <v>1025</v>
      </c>
      <c r="H14" s="31"/>
      <c r="I14" s="268"/>
      <c r="J14" s="298"/>
      <c r="K14" s="268"/>
      <c r="L14" s="268"/>
      <c r="M14" s="268"/>
    </row>
    <row r="15" spans="1:13" ht="22.5" customHeight="1">
      <c r="A15" s="276">
        <v>7</v>
      </c>
      <c r="B15" s="282"/>
      <c r="C15" s="277" t="s">
        <v>1026</v>
      </c>
      <c r="D15" s="267" t="s">
        <v>1027</v>
      </c>
      <c r="E15" s="267" t="s">
        <v>1001</v>
      </c>
      <c r="F15" s="31">
        <v>1</v>
      </c>
      <c r="G15" s="31" t="s">
        <v>1028</v>
      </c>
      <c r="H15" s="31" t="s">
        <v>1029</v>
      </c>
      <c r="I15" s="267" t="s">
        <v>1030</v>
      </c>
      <c r="J15" s="297" t="s">
        <v>1011</v>
      </c>
      <c r="K15" s="270" t="s">
        <v>992</v>
      </c>
      <c r="L15" s="267" t="s">
        <v>498</v>
      </c>
      <c r="M15" s="271" t="str">
        <f>HYPERLINK("D:\RaoVat_AutomationTesting\Screenshots\Pass_CP07.png", "Xem ảnh lỗi")</f>
        <v>Xem ảnh lỗi</v>
      </c>
    </row>
    <row r="16" spans="1:13" ht="38.25" customHeight="1">
      <c r="A16" s="275"/>
      <c r="B16" s="282"/>
      <c r="C16" s="278"/>
      <c r="D16" s="268"/>
      <c r="E16" s="268"/>
      <c r="F16" s="31">
        <v>2</v>
      </c>
      <c r="G16" s="31" t="s">
        <v>1031</v>
      </c>
      <c r="H16" s="31"/>
      <c r="I16" s="268"/>
      <c r="J16" s="298"/>
      <c r="K16" s="268"/>
      <c r="L16" s="268"/>
      <c r="M16" s="268"/>
    </row>
    <row r="17" spans="1:13" ht="22.5" customHeight="1">
      <c r="A17" s="276">
        <v>8</v>
      </c>
      <c r="B17" s="282"/>
      <c r="C17" s="277" t="s">
        <v>1032</v>
      </c>
      <c r="D17" s="267" t="s">
        <v>1033</v>
      </c>
      <c r="E17" s="267" t="s">
        <v>1001</v>
      </c>
      <c r="F17" s="31">
        <v>1</v>
      </c>
      <c r="G17" s="31" t="s">
        <v>1034</v>
      </c>
      <c r="H17" s="31" t="s">
        <v>1035</v>
      </c>
      <c r="I17" s="267" t="s">
        <v>1036</v>
      </c>
      <c r="J17" s="297" t="s">
        <v>1024</v>
      </c>
      <c r="K17" s="270" t="s">
        <v>992</v>
      </c>
      <c r="L17" s="267" t="s">
        <v>498</v>
      </c>
      <c r="M17" s="271" t="str">
        <f>HYPERLINK("D:\RaoVat_AutomationTesting\Screenshots\Pass_CP08.png", "Xem ảnh lỗi")</f>
        <v>Xem ảnh lỗi</v>
      </c>
    </row>
    <row r="18" spans="1:13" ht="22.5" customHeight="1">
      <c r="A18" s="275"/>
      <c r="B18" s="282"/>
      <c r="C18" s="278"/>
      <c r="D18" s="268"/>
      <c r="E18" s="268"/>
      <c r="F18" s="31">
        <v>2</v>
      </c>
      <c r="G18" s="31" t="s">
        <v>993</v>
      </c>
      <c r="H18" s="31"/>
      <c r="I18" s="268"/>
      <c r="J18" s="298"/>
      <c r="K18" s="268"/>
      <c r="L18" s="268"/>
      <c r="M18" s="268"/>
    </row>
    <row r="19" spans="1:13" ht="22.5" customHeight="1">
      <c r="A19" s="276">
        <v>9</v>
      </c>
      <c r="B19" s="282"/>
      <c r="C19" s="277" t="s">
        <v>1037</v>
      </c>
      <c r="D19" s="267" t="s">
        <v>1038</v>
      </c>
      <c r="E19" s="267" t="s">
        <v>1001</v>
      </c>
      <c r="F19" s="31">
        <v>1</v>
      </c>
      <c r="G19" s="31" t="s">
        <v>1039</v>
      </c>
      <c r="H19" s="31" t="s">
        <v>1040</v>
      </c>
      <c r="I19" s="267" t="s">
        <v>1041</v>
      </c>
      <c r="J19" s="297" t="s">
        <v>1042</v>
      </c>
      <c r="K19" s="270" t="s">
        <v>992</v>
      </c>
      <c r="L19" s="267" t="s">
        <v>498</v>
      </c>
      <c r="M19" s="271" t="str">
        <f>HYPERLINK("D:\RaoVat_AutomationTesting\Screenshots\Pass_CP09.png", "Xem ảnh lỗi")</f>
        <v>Xem ảnh lỗi</v>
      </c>
    </row>
    <row r="20" spans="1:13" ht="22.5" customHeight="1">
      <c r="A20" s="275"/>
      <c r="B20" s="282"/>
      <c r="C20" s="278"/>
      <c r="D20" s="268"/>
      <c r="E20" s="268"/>
      <c r="F20" s="31">
        <v>2</v>
      </c>
      <c r="G20" s="31" t="s">
        <v>993</v>
      </c>
      <c r="H20" s="31"/>
      <c r="I20" s="268"/>
      <c r="J20" s="298"/>
      <c r="K20" s="268"/>
      <c r="L20" s="268"/>
      <c r="M20" s="268"/>
    </row>
    <row r="21" spans="1:13" ht="22.5" customHeight="1">
      <c r="A21" s="276">
        <v>10</v>
      </c>
      <c r="B21" s="282"/>
      <c r="C21" s="277" t="s">
        <v>1043</v>
      </c>
      <c r="D21" s="267" t="s">
        <v>1044</v>
      </c>
      <c r="E21" s="267" t="s">
        <v>1001</v>
      </c>
      <c r="F21" s="31">
        <v>1</v>
      </c>
      <c r="G21" s="31" t="s">
        <v>1045</v>
      </c>
      <c r="H21" s="31" t="s">
        <v>1046</v>
      </c>
      <c r="I21" s="267" t="s">
        <v>1047</v>
      </c>
      <c r="J21" s="297" t="s">
        <v>1011</v>
      </c>
      <c r="K21" s="270" t="s">
        <v>992</v>
      </c>
      <c r="L21" s="267" t="s">
        <v>498</v>
      </c>
      <c r="M21" s="271" t="str">
        <f>HYPERLINK("D:\RaoVat_AutomationTesting\Screenshots\Pass_CP10.png", "Xem ảnh lỗi")</f>
        <v>Xem ảnh lỗi</v>
      </c>
    </row>
    <row r="22" spans="1:13" ht="22.5" customHeight="1">
      <c r="A22" s="275"/>
      <c r="B22" s="282"/>
      <c r="C22" s="278"/>
      <c r="D22" s="268"/>
      <c r="E22" s="268"/>
      <c r="F22" s="31">
        <v>2</v>
      </c>
      <c r="G22" s="31" t="s">
        <v>1048</v>
      </c>
      <c r="H22" s="31"/>
      <c r="I22" s="268"/>
      <c r="J22" s="298"/>
      <c r="K22" s="268"/>
      <c r="L22" s="268"/>
      <c r="M22" s="268"/>
    </row>
    <row r="23" spans="1:13" ht="22.5" customHeight="1">
      <c r="A23" s="276">
        <v>11</v>
      </c>
      <c r="B23" s="282"/>
      <c r="C23" s="277" t="s">
        <v>1049</v>
      </c>
      <c r="D23" s="267" t="s">
        <v>1050</v>
      </c>
      <c r="E23" s="267" t="s">
        <v>1001</v>
      </c>
      <c r="F23" s="31">
        <v>1</v>
      </c>
      <c r="G23" s="31" t="s">
        <v>1051</v>
      </c>
      <c r="H23" s="31" t="s">
        <v>1052</v>
      </c>
      <c r="I23" s="267" t="s">
        <v>1053</v>
      </c>
      <c r="J23" s="297" t="s">
        <v>1054</v>
      </c>
      <c r="K23" s="270" t="s">
        <v>992</v>
      </c>
      <c r="L23" s="267" t="s">
        <v>498</v>
      </c>
      <c r="M23" s="271" t="str">
        <f>HYPERLINK("D:\RaoVat_AutomationTesting\Screenshots\Fail_CP11.png", "Xem ảnh lỗi")</f>
        <v>Xem ảnh lỗi</v>
      </c>
    </row>
    <row r="24" spans="1:13" ht="22.5" customHeight="1">
      <c r="A24" s="275"/>
      <c r="B24" s="282"/>
      <c r="C24" s="278"/>
      <c r="D24" s="268"/>
      <c r="E24" s="268"/>
      <c r="F24" s="31">
        <v>2</v>
      </c>
      <c r="G24" s="31" t="s">
        <v>993</v>
      </c>
      <c r="H24" s="31"/>
      <c r="I24" s="268"/>
      <c r="J24" s="298"/>
      <c r="K24" s="268"/>
      <c r="L24" s="268"/>
      <c r="M24" s="268"/>
    </row>
    <row r="25" spans="1:13" ht="22.5" customHeight="1">
      <c r="A25" s="276">
        <v>12</v>
      </c>
      <c r="B25" s="282"/>
      <c r="C25" s="277" t="s">
        <v>1055</v>
      </c>
      <c r="D25" s="267" t="s">
        <v>1056</v>
      </c>
      <c r="E25" s="267" t="s">
        <v>1001</v>
      </c>
      <c r="F25" s="31">
        <v>1</v>
      </c>
      <c r="G25" s="31" t="s">
        <v>1057</v>
      </c>
      <c r="H25" s="31" t="s">
        <v>1058</v>
      </c>
      <c r="I25" s="267" t="s">
        <v>1059</v>
      </c>
      <c r="J25" s="297" t="s">
        <v>991</v>
      </c>
      <c r="K25" s="270" t="s">
        <v>992</v>
      </c>
      <c r="L25" s="267" t="s">
        <v>498</v>
      </c>
      <c r="M25" s="271" t="str">
        <f>HYPERLINK("D:\RaoVat_AutomationTesting\Screenshots\Pass_CP12.png", "Xem ảnh lỗi")</f>
        <v>Xem ảnh lỗi</v>
      </c>
    </row>
    <row r="26" spans="1:13" ht="22.5" customHeight="1">
      <c r="A26" s="275"/>
      <c r="B26" s="282"/>
      <c r="C26" s="278"/>
      <c r="D26" s="268"/>
      <c r="E26" s="268"/>
      <c r="F26" s="31">
        <v>2</v>
      </c>
      <c r="G26" s="31" t="s">
        <v>993</v>
      </c>
      <c r="H26" s="31"/>
      <c r="I26" s="268"/>
      <c r="J26" s="298"/>
      <c r="K26" s="268"/>
      <c r="L26" s="268"/>
      <c r="M26" s="268"/>
    </row>
    <row r="27" spans="1:13" ht="22.5" customHeight="1">
      <c r="A27" s="276">
        <v>13</v>
      </c>
      <c r="B27" s="282"/>
      <c r="C27" s="277" t="s">
        <v>1060</v>
      </c>
      <c r="D27" s="267" t="s">
        <v>1061</v>
      </c>
      <c r="E27" s="267" t="s">
        <v>1001</v>
      </c>
      <c r="F27" s="31">
        <v>1</v>
      </c>
      <c r="G27" s="31" t="s">
        <v>1062</v>
      </c>
      <c r="H27" s="31" t="s">
        <v>1063</v>
      </c>
      <c r="I27" s="267" t="s">
        <v>1064</v>
      </c>
      <c r="J27" s="297" t="s">
        <v>1011</v>
      </c>
      <c r="K27" s="270" t="s">
        <v>992</v>
      </c>
      <c r="L27" s="267" t="s">
        <v>498</v>
      </c>
      <c r="M27" s="271" t="str">
        <f>HYPERLINK("D:\RaoVat_AutomationTesting\Screenshots\Pass_CP13.png", "Xem ảnh lỗi")</f>
        <v>Xem ảnh lỗi</v>
      </c>
    </row>
    <row r="28" spans="1:13" ht="44.25" customHeight="1">
      <c r="A28" s="275"/>
      <c r="B28" s="282"/>
      <c r="C28" s="278"/>
      <c r="D28" s="268"/>
      <c r="E28" s="268"/>
      <c r="F28" s="31">
        <v>2</v>
      </c>
      <c r="G28" s="31" t="s">
        <v>993</v>
      </c>
      <c r="H28" s="31"/>
      <c r="I28" s="268"/>
      <c r="J28" s="298"/>
      <c r="K28" s="268"/>
      <c r="L28" s="268"/>
      <c r="M28" s="268"/>
    </row>
    <row r="29" spans="1:13" ht="22.5" customHeight="1">
      <c r="A29" s="276">
        <v>14</v>
      </c>
      <c r="B29" s="282"/>
      <c r="C29" s="277" t="s">
        <v>1065</v>
      </c>
      <c r="D29" s="267" t="s">
        <v>1066</v>
      </c>
      <c r="E29" s="267" t="s">
        <v>1001</v>
      </c>
      <c r="F29" s="31">
        <v>1</v>
      </c>
      <c r="G29" s="31" t="s">
        <v>1067</v>
      </c>
      <c r="H29" s="31" t="s">
        <v>1068</v>
      </c>
      <c r="I29" s="267" t="s">
        <v>1069</v>
      </c>
      <c r="J29" s="297" t="s">
        <v>1011</v>
      </c>
      <c r="K29" s="270" t="s">
        <v>992</v>
      </c>
      <c r="L29" s="267" t="s">
        <v>498</v>
      </c>
      <c r="M29" s="271" t="str">
        <f>HYPERLINK("D:\RaoVat_AutomationTesting\Screenshots\Pass_CP14.png", "Xem ảnh lỗi")</f>
        <v>Xem ảnh lỗi</v>
      </c>
    </row>
    <row r="30" spans="1:13" ht="22.5" customHeight="1">
      <c r="A30" s="275"/>
      <c r="B30" s="282"/>
      <c r="C30" s="278"/>
      <c r="D30" s="268"/>
      <c r="E30" s="268"/>
      <c r="F30" s="31">
        <v>2</v>
      </c>
      <c r="G30" s="31" t="s">
        <v>1070</v>
      </c>
      <c r="H30" s="31"/>
      <c r="I30" s="268"/>
      <c r="J30" s="298"/>
      <c r="K30" s="268"/>
      <c r="L30" s="268"/>
      <c r="M30" s="268"/>
    </row>
    <row r="31" spans="1:13" ht="22.5" customHeight="1">
      <c r="A31" s="276">
        <v>15</v>
      </c>
      <c r="B31" s="282"/>
      <c r="C31" s="277" t="s">
        <v>1071</v>
      </c>
      <c r="D31" s="267" t="s">
        <v>1072</v>
      </c>
      <c r="E31" s="267" t="s">
        <v>1001</v>
      </c>
      <c r="F31" s="31">
        <v>1</v>
      </c>
      <c r="G31" s="31" t="s">
        <v>1073</v>
      </c>
      <c r="H31" s="31" t="s">
        <v>1074</v>
      </c>
      <c r="I31" s="267" t="s">
        <v>1075</v>
      </c>
      <c r="J31" s="297" t="s">
        <v>1076</v>
      </c>
      <c r="K31" s="270" t="s">
        <v>992</v>
      </c>
      <c r="L31" s="267" t="s">
        <v>498</v>
      </c>
      <c r="M31" s="271" t="str">
        <f>HYPERLINK("D:\RaoVat_AutomationTesting\Screenshots\Pass_CP15.png", "Xem ảnh lỗi")</f>
        <v>Xem ảnh lỗi</v>
      </c>
    </row>
    <row r="32" spans="1:13" ht="22.5" customHeight="1">
      <c r="A32" s="275"/>
      <c r="B32" s="282"/>
      <c r="C32" s="278"/>
      <c r="D32" s="268"/>
      <c r="E32" s="268"/>
      <c r="F32" s="31">
        <v>2</v>
      </c>
      <c r="G32" s="31" t="s">
        <v>1077</v>
      </c>
      <c r="H32" s="31"/>
      <c r="I32" s="268"/>
      <c r="J32" s="298"/>
      <c r="K32" s="268"/>
      <c r="L32" s="268"/>
      <c r="M32" s="268"/>
    </row>
    <row r="33" spans="1:13" ht="22.5" customHeight="1">
      <c r="A33" s="276">
        <v>16</v>
      </c>
      <c r="B33" s="282"/>
      <c r="C33" s="277" t="s">
        <v>1078</v>
      </c>
      <c r="D33" s="267" t="s">
        <v>1079</v>
      </c>
      <c r="E33" s="267" t="s">
        <v>1001</v>
      </c>
      <c r="F33" s="31">
        <v>1</v>
      </c>
      <c r="G33" s="31" t="s">
        <v>1080</v>
      </c>
      <c r="H33" s="31" t="s">
        <v>1081</v>
      </c>
      <c r="I33" s="267" t="s">
        <v>1082</v>
      </c>
      <c r="J33" s="297" t="s">
        <v>1083</v>
      </c>
      <c r="K33" s="270" t="s">
        <v>992</v>
      </c>
      <c r="L33" s="267" t="s">
        <v>498</v>
      </c>
      <c r="M33" s="271" t="str">
        <f>HYPERLINK("D:\RaoVat_AutomationTesting\Screenshots\Fail_CP16.png", "Xem ảnh lỗi")</f>
        <v>Xem ảnh lỗi</v>
      </c>
    </row>
    <row r="34" spans="1:13" ht="22.5" customHeight="1">
      <c r="A34" s="275"/>
      <c r="B34" s="282"/>
      <c r="C34" s="278"/>
      <c r="D34" s="268"/>
      <c r="E34" s="268"/>
      <c r="F34" s="31">
        <v>2</v>
      </c>
      <c r="G34" s="31" t="s">
        <v>1084</v>
      </c>
      <c r="H34" s="31"/>
      <c r="I34" s="268"/>
      <c r="J34" s="298"/>
      <c r="K34" s="268"/>
      <c r="L34" s="268"/>
      <c r="M34" s="268"/>
    </row>
    <row r="35" spans="1:13" ht="22.5" customHeight="1">
      <c r="A35" s="276">
        <v>17</v>
      </c>
      <c r="B35" s="282"/>
      <c r="C35" s="277" t="s">
        <v>1085</v>
      </c>
      <c r="D35" s="267" t="s">
        <v>1086</v>
      </c>
      <c r="E35" s="267" t="s">
        <v>1001</v>
      </c>
      <c r="F35" s="31">
        <v>1</v>
      </c>
      <c r="G35" s="31" t="s">
        <v>1087</v>
      </c>
      <c r="H35" s="31" t="s">
        <v>1088</v>
      </c>
      <c r="I35" s="267" t="s">
        <v>1089</v>
      </c>
      <c r="J35" s="297" t="s">
        <v>1017</v>
      </c>
      <c r="K35" s="273" t="s">
        <v>497</v>
      </c>
      <c r="L35" s="267" t="s">
        <v>498</v>
      </c>
      <c r="M35" s="271" t="str">
        <f>HYPERLINK("D:\RaoVat_AutomationTesting\Screenshots\Fail_CP17.png", "Xem ảnh lỗi")</f>
        <v>Xem ảnh lỗi</v>
      </c>
    </row>
    <row r="36" spans="1:13" ht="22.5" customHeight="1">
      <c r="A36" s="275"/>
      <c r="B36" s="282"/>
      <c r="C36" s="278"/>
      <c r="D36" s="268"/>
      <c r="E36" s="268"/>
      <c r="F36" s="31">
        <v>2</v>
      </c>
      <c r="G36" s="31" t="s">
        <v>1090</v>
      </c>
      <c r="H36" s="31"/>
      <c r="I36" s="268"/>
      <c r="J36" s="298"/>
      <c r="K36" s="268"/>
      <c r="L36" s="268"/>
      <c r="M36" s="268"/>
    </row>
    <row r="37" spans="1:13" ht="22.5" customHeight="1">
      <c r="A37" s="276">
        <v>18</v>
      </c>
      <c r="B37" s="282"/>
      <c r="C37" s="277" t="s">
        <v>1091</v>
      </c>
      <c r="D37" s="267" t="s">
        <v>1092</v>
      </c>
      <c r="E37" s="267" t="s">
        <v>1001</v>
      </c>
      <c r="F37" s="31">
        <v>1</v>
      </c>
      <c r="G37" s="31" t="s">
        <v>1093</v>
      </c>
      <c r="H37" s="31" t="s">
        <v>1094</v>
      </c>
      <c r="I37" s="267" t="s">
        <v>1095</v>
      </c>
      <c r="J37" s="297" t="s">
        <v>1011</v>
      </c>
      <c r="K37" s="270" t="s">
        <v>992</v>
      </c>
      <c r="L37" s="267" t="s">
        <v>498</v>
      </c>
      <c r="M37" s="271" t="str">
        <f>HYPERLINK("D:\RaoVat_AutomationTesting\Screenshots\Pass_CP18.png", "Xem ảnh lỗi")</f>
        <v>Xem ảnh lỗi</v>
      </c>
    </row>
    <row r="38" spans="1:13" ht="64.5" customHeight="1">
      <c r="A38" s="275"/>
      <c r="B38" s="282"/>
      <c r="C38" s="278"/>
      <c r="D38" s="268"/>
      <c r="E38" s="268"/>
      <c r="F38" s="31">
        <v>2</v>
      </c>
      <c r="G38" s="31" t="s">
        <v>1096</v>
      </c>
      <c r="H38" s="31"/>
      <c r="I38" s="268"/>
      <c r="J38" s="298"/>
      <c r="K38" s="268"/>
      <c r="L38" s="268"/>
      <c r="M38" s="268"/>
    </row>
    <row r="39" spans="1:13" ht="22.5" customHeight="1">
      <c r="A39" s="276">
        <v>19</v>
      </c>
      <c r="B39" s="282"/>
      <c r="C39" s="277" t="s">
        <v>1097</v>
      </c>
      <c r="D39" s="267" t="s">
        <v>1098</v>
      </c>
      <c r="E39" s="267" t="s">
        <v>1001</v>
      </c>
      <c r="F39" s="31">
        <v>1</v>
      </c>
      <c r="G39" s="31" t="s">
        <v>1099</v>
      </c>
      <c r="H39" s="31" t="s">
        <v>1100</v>
      </c>
      <c r="I39" s="267" t="s">
        <v>1101</v>
      </c>
      <c r="J39" s="297" t="s">
        <v>1102</v>
      </c>
      <c r="K39" s="270" t="s">
        <v>992</v>
      </c>
      <c r="L39" s="267" t="s">
        <v>498</v>
      </c>
      <c r="M39" s="271" t="str">
        <f>HYPERLINK("D:\RaoVat_AutomationTesting\Screenshots\Pass_CP19.png", "Xem ảnh lỗi")</f>
        <v>Xem ảnh lỗi</v>
      </c>
    </row>
    <row r="40" spans="1:13" ht="22.5" customHeight="1">
      <c r="A40" s="275"/>
      <c r="B40" s="282"/>
      <c r="C40" s="278"/>
      <c r="D40" s="268"/>
      <c r="E40" s="268"/>
      <c r="F40" s="31">
        <v>2</v>
      </c>
      <c r="G40" s="31" t="s">
        <v>1103</v>
      </c>
      <c r="H40" s="31"/>
      <c r="I40" s="268"/>
      <c r="J40" s="298"/>
      <c r="K40" s="268"/>
      <c r="L40" s="268"/>
      <c r="M40" s="268"/>
    </row>
    <row r="41" spans="1:13" ht="22.5" customHeight="1">
      <c r="A41" s="276">
        <v>20</v>
      </c>
      <c r="B41" s="282"/>
      <c r="C41" s="277" t="s">
        <v>1104</v>
      </c>
      <c r="D41" s="267" t="s">
        <v>1105</v>
      </c>
      <c r="E41" s="267" t="s">
        <v>1001</v>
      </c>
      <c r="F41" s="31">
        <v>1</v>
      </c>
      <c r="G41" s="31" t="s">
        <v>1106</v>
      </c>
      <c r="H41" s="31" t="s">
        <v>1107</v>
      </c>
      <c r="I41" s="267" t="s">
        <v>1108</v>
      </c>
      <c r="J41" s="267" t="s">
        <v>1109</v>
      </c>
      <c r="K41" s="270" t="s">
        <v>992</v>
      </c>
      <c r="L41" s="267" t="s">
        <v>498</v>
      </c>
      <c r="M41" s="271" t="str">
        <f>HYPERLINK("D:\RaoVat_AutomationTesting\Screenshots\Pass_CP20.png", "Xem ảnh lỗi")</f>
        <v>Xem ảnh lỗi</v>
      </c>
    </row>
    <row r="42" spans="1:13" ht="22.5" customHeight="1">
      <c r="A42" s="275"/>
      <c r="B42" s="282"/>
      <c r="C42" s="278"/>
      <c r="D42" s="268"/>
      <c r="E42" s="268"/>
      <c r="F42" s="31">
        <v>2</v>
      </c>
      <c r="G42" s="31" t="s">
        <v>1110</v>
      </c>
      <c r="H42" s="31"/>
      <c r="I42" s="268"/>
      <c r="J42" s="268"/>
      <c r="K42" s="268"/>
      <c r="L42" s="268"/>
      <c r="M42" s="268"/>
    </row>
    <row r="43" spans="1:13" ht="22.5" customHeight="1">
      <c r="A43" s="276">
        <v>21</v>
      </c>
      <c r="B43" s="282"/>
      <c r="C43" s="277" t="s">
        <v>1111</v>
      </c>
      <c r="D43" s="267" t="s">
        <v>1112</v>
      </c>
      <c r="E43" s="267" t="s">
        <v>1001</v>
      </c>
      <c r="F43" s="31">
        <v>1</v>
      </c>
      <c r="G43" s="31" t="s">
        <v>1113</v>
      </c>
      <c r="H43" s="31" t="s">
        <v>1114</v>
      </c>
      <c r="I43" s="267" t="s">
        <v>1115</v>
      </c>
      <c r="J43" s="297" t="s">
        <v>1011</v>
      </c>
      <c r="K43" s="270" t="s">
        <v>992</v>
      </c>
      <c r="L43" s="267" t="s">
        <v>498</v>
      </c>
      <c r="M43" s="271" t="str">
        <f>HYPERLINK("D:\RaoVat_AutomationTesting\Screenshots\Pass_CP21.png", "Xem ảnh lỗi")</f>
        <v>Xem ảnh lỗi</v>
      </c>
    </row>
    <row r="44" spans="1:13" ht="22.5" customHeight="1">
      <c r="A44" s="275"/>
      <c r="B44" s="282"/>
      <c r="C44" s="278"/>
      <c r="D44" s="268"/>
      <c r="E44" s="268"/>
      <c r="F44" s="31">
        <v>2</v>
      </c>
      <c r="G44" s="31" t="s">
        <v>993</v>
      </c>
      <c r="H44" s="31"/>
      <c r="I44" s="268"/>
      <c r="J44" s="298"/>
      <c r="K44" s="268"/>
      <c r="L44" s="268"/>
      <c r="M44" s="268"/>
    </row>
    <row r="45" spans="1:13" ht="22.5" customHeight="1">
      <c r="A45" s="276">
        <v>22</v>
      </c>
      <c r="B45" s="282"/>
      <c r="C45" s="277" t="s">
        <v>1116</v>
      </c>
      <c r="D45" s="267" t="s">
        <v>1117</v>
      </c>
      <c r="E45" s="267" t="s">
        <v>1001</v>
      </c>
      <c r="F45" s="31">
        <v>1</v>
      </c>
      <c r="G45" s="31" t="s">
        <v>1118</v>
      </c>
      <c r="H45" s="31" t="s">
        <v>1119</v>
      </c>
      <c r="I45" s="267" t="s">
        <v>1120</v>
      </c>
      <c r="J45" s="297" t="s">
        <v>1121</v>
      </c>
      <c r="K45" s="270" t="s">
        <v>992</v>
      </c>
      <c r="L45" s="267" t="s">
        <v>498</v>
      </c>
      <c r="M45" s="271" t="str">
        <f>HYPERLINK("D:\RaoVat_AutomationTesting\Screenshots\Pass_CP22.png", "Xem ảnh lỗi")</f>
        <v>Xem ảnh lỗi</v>
      </c>
    </row>
    <row r="46" spans="1:13" ht="74.25" customHeight="1">
      <c r="A46" s="275"/>
      <c r="B46" s="282"/>
      <c r="C46" s="278"/>
      <c r="D46" s="268"/>
      <c r="E46" s="268"/>
      <c r="F46" s="31">
        <v>2</v>
      </c>
      <c r="G46" s="31" t="s">
        <v>1122</v>
      </c>
      <c r="H46" s="31"/>
      <c r="I46" s="268"/>
      <c r="J46" s="298"/>
      <c r="K46" s="268"/>
      <c r="L46" s="268"/>
      <c r="M46" s="268"/>
    </row>
    <row r="47" spans="1:13" ht="22.5" customHeight="1">
      <c r="A47" s="276">
        <v>23</v>
      </c>
      <c r="B47" s="282"/>
      <c r="C47" s="277" t="s">
        <v>1123</v>
      </c>
      <c r="D47" s="267" t="s">
        <v>1124</v>
      </c>
      <c r="E47" s="267" t="s">
        <v>1001</v>
      </c>
      <c r="F47" s="31">
        <v>1</v>
      </c>
      <c r="G47" s="31" t="s">
        <v>1125</v>
      </c>
      <c r="H47" s="31" t="s">
        <v>1126</v>
      </c>
      <c r="I47" s="267" t="s">
        <v>1127</v>
      </c>
      <c r="J47" s="297" t="s">
        <v>1011</v>
      </c>
      <c r="K47" s="270" t="s">
        <v>992</v>
      </c>
      <c r="L47" s="267" t="s">
        <v>498</v>
      </c>
      <c r="M47" s="271" t="str">
        <f>HYPERLINK("D:\RaoVat_AutomationTesting\Screenshots\Pass_CP23.png", "Xem ảnh lỗi")</f>
        <v>Xem ảnh lỗi</v>
      </c>
    </row>
    <row r="48" spans="1:13" ht="22.5" customHeight="1">
      <c r="A48" s="275"/>
      <c r="B48" s="282"/>
      <c r="C48" s="278"/>
      <c r="D48" s="268"/>
      <c r="E48" s="268"/>
      <c r="F48" s="31">
        <v>2</v>
      </c>
      <c r="G48" s="31" t="s">
        <v>993</v>
      </c>
      <c r="H48" s="31"/>
      <c r="I48" s="268"/>
      <c r="J48" s="298"/>
      <c r="K48" s="268"/>
      <c r="L48" s="268"/>
      <c r="M48" s="268"/>
    </row>
    <row r="49" spans="1:13" ht="32.25" customHeight="1">
      <c r="A49" s="276">
        <v>24</v>
      </c>
      <c r="B49" s="282"/>
      <c r="C49" s="277" t="s">
        <v>1128</v>
      </c>
      <c r="D49" s="267" t="s">
        <v>1129</v>
      </c>
      <c r="E49" s="267" t="s">
        <v>1001</v>
      </c>
      <c r="F49" s="31">
        <v>1</v>
      </c>
      <c r="G49" s="31" t="s">
        <v>1130</v>
      </c>
      <c r="H49" s="59" t="s">
        <v>1131</v>
      </c>
      <c r="I49" s="267" t="s">
        <v>1132</v>
      </c>
      <c r="J49" s="297" t="s">
        <v>1011</v>
      </c>
      <c r="K49" s="270" t="s">
        <v>992</v>
      </c>
      <c r="L49" s="267" t="s">
        <v>498</v>
      </c>
      <c r="M49" s="271" t="str">
        <f>HYPERLINK("D:\RaoVat_AutomationTesting\Screenshots\Pass_CP24.png", "Xem ảnh lỗi")</f>
        <v>Xem ảnh lỗi</v>
      </c>
    </row>
    <row r="50" spans="1:13" ht="23.25" customHeight="1">
      <c r="A50" s="275"/>
      <c r="B50" s="282"/>
      <c r="C50" s="278"/>
      <c r="D50" s="268"/>
      <c r="E50" s="268"/>
      <c r="F50" s="31">
        <v>2</v>
      </c>
      <c r="G50" s="31" t="s">
        <v>993</v>
      </c>
      <c r="H50" s="31"/>
      <c r="I50" s="268"/>
      <c r="J50" s="298"/>
      <c r="K50" s="268"/>
      <c r="L50" s="268"/>
      <c r="M50" s="268"/>
    </row>
    <row r="51" spans="1:13" ht="22.5" customHeight="1">
      <c r="A51" s="276">
        <v>25</v>
      </c>
      <c r="B51" s="282"/>
      <c r="C51" s="290" t="s">
        <v>1133</v>
      </c>
      <c r="D51" s="292" t="s">
        <v>1134</v>
      </c>
      <c r="E51" s="267" t="s">
        <v>1001</v>
      </c>
      <c r="F51" s="31">
        <v>1</v>
      </c>
      <c r="G51" s="31" t="s">
        <v>1135</v>
      </c>
      <c r="H51" s="31" t="s">
        <v>1136</v>
      </c>
      <c r="I51" s="267" t="s">
        <v>1137</v>
      </c>
      <c r="J51" s="267"/>
      <c r="K51" s="267"/>
      <c r="L51" s="267"/>
      <c r="M51" s="267"/>
    </row>
    <row r="52" spans="1:13" ht="22.5" customHeight="1">
      <c r="A52" s="275"/>
      <c r="B52" s="282"/>
      <c r="C52" s="291"/>
      <c r="D52" s="293"/>
      <c r="E52" s="268"/>
      <c r="F52" s="31">
        <v>2</v>
      </c>
      <c r="G52" s="31" t="s">
        <v>993</v>
      </c>
      <c r="H52" s="31"/>
      <c r="I52" s="268"/>
      <c r="J52" s="268"/>
      <c r="K52" s="268"/>
      <c r="L52" s="268"/>
      <c r="M52" s="268"/>
    </row>
    <row r="53" spans="1:13" ht="22.5" customHeight="1">
      <c r="A53" s="276">
        <v>26</v>
      </c>
      <c r="B53" s="282"/>
      <c r="C53" s="277" t="s">
        <v>1138</v>
      </c>
      <c r="D53" s="267" t="s">
        <v>1139</v>
      </c>
      <c r="E53" s="267" t="s">
        <v>1001</v>
      </c>
      <c r="F53" s="31">
        <v>1</v>
      </c>
      <c r="G53" s="31" t="s">
        <v>1140</v>
      </c>
      <c r="H53" s="31" t="s">
        <v>1141</v>
      </c>
      <c r="I53" s="267" t="s">
        <v>1142</v>
      </c>
      <c r="J53" s="297" t="s">
        <v>1011</v>
      </c>
      <c r="K53" s="270" t="s">
        <v>992</v>
      </c>
      <c r="L53" s="267" t="s">
        <v>498</v>
      </c>
      <c r="M53" s="271" t="str">
        <f>HYPERLINK("D:\RaoVat_AutomationTesting\Screenshots\Pass_CP26.png", "Xem ảnh lỗi")</f>
        <v>Xem ảnh lỗi</v>
      </c>
    </row>
    <row r="54" spans="1:13" ht="22.5" customHeight="1">
      <c r="A54" s="275"/>
      <c r="B54" s="282"/>
      <c r="C54" s="278"/>
      <c r="D54" s="268"/>
      <c r="E54" s="268"/>
      <c r="F54" s="31">
        <v>2</v>
      </c>
      <c r="G54" s="31" t="s">
        <v>1143</v>
      </c>
      <c r="H54" s="31"/>
      <c r="I54" s="268"/>
      <c r="J54" s="298"/>
      <c r="K54" s="268"/>
      <c r="L54" s="268"/>
      <c r="M54" s="268"/>
    </row>
    <row r="55" spans="1:13" ht="22.5" customHeight="1">
      <c r="A55" s="276">
        <v>27</v>
      </c>
      <c r="B55" s="282"/>
      <c r="C55" s="277" t="s">
        <v>1144</v>
      </c>
      <c r="D55" s="267" t="s">
        <v>1145</v>
      </c>
      <c r="E55" s="267" t="s">
        <v>1001</v>
      </c>
      <c r="F55" s="31">
        <v>1</v>
      </c>
      <c r="G55" s="31" t="s">
        <v>1146</v>
      </c>
      <c r="H55" s="31" t="s">
        <v>1147</v>
      </c>
      <c r="I55" s="267" t="s">
        <v>1148</v>
      </c>
      <c r="J55" s="297" t="s">
        <v>1011</v>
      </c>
      <c r="K55" s="270" t="s">
        <v>992</v>
      </c>
      <c r="L55" s="267" t="s">
        <v>498</v>
      </c>
      <c r="M55" s="271" t="str">
        <f>HYPERLINK("D:\RaoVat_AutomationTesting\Screenshots\Pass_CP27.png", "Xem ảnh lỗi")</f>
        <v>Xem ảnh lỗi</v>
      </c>
    </row>
    <row r="56" spans="1:13" ht="22.5" customHeight="1">
      <c r="A56" s="275"/>
      <c r="B56" s="282"/>
      <c r="C56" s="278"/>
      <c r="D56" s="268"/>
      <c r="E56" s="268"/>
      <c r="F56" s="31">
        <v>2</v>
      </c>
      <c r="G56" s="31" t="s">
        <v>1149</v>
      </c>
      <c r="H56" s="31"/>
      <c r="I56" s="268"/>
      <c r="J56" s="298"/>
      <c r="K56" s="268"/>
      <c r="L56" s="268"/>
      <c r="M56" s="268"/>
    </row>
    <row r="57" spans="1:13" ht="22.5" customHeight="1">
      <c r="A57" s="276">
        <v>28</v>
      </c>
      <c r="B57" s="282"/>
      <c r="C57" s="277" t="s">
        <v>1150</v>
      </c>
      <c r="D57" s="267" t="s">
        <v>1151</v>
      </c>
      <c r="E57" s="267" t="s">
        <v>1001</v>
      </c>
      <c r="F57" s="31">
        <v>1</v>
      </c>
      <c r="G57" s="31" t="s">
        <v>1152</v>
      </c>
      <c r="H57" s="31" t="s">
        <v>1153</v>
      </c>
      <c r="I57" s="267" t="s">
        <v>1154</v>
      </c>
      <c r="J57" s="297" t="s">
        <v>1083</v>
      </c>
      <c r="K57" s="270" t="s">
        <v>992</v>
      </c>
      <c r="L57" s="267" t="s">
        <v>498</v>
      </c>
      <c r="M57" s="271" t="str">
        <f>HYPERLINK("D:\RaoVat_AutomationTesting\Screenshots\Pass_CP28.png", "Xem ảnh lỗi")</f>
        <v>Xem ảnh lỗi</v>
      </c>
    </row>
    <row r="58" spans="1:13" ht="22.5" customHeight="1">
      <c r="A58" s="275"/>
      <c r="B58" s="282"/>
      <c r="C58" s="278"/>
      <c r="D58" s="268"/>
      <c r="E58" s="268"/>
      <c r="F58" s="31">
        <v>2</v>
      </c>
      <c r="G58" s="31" t="s">
        <v>993</v>
      </c>
      <c r="H58" s="31"/>
      <c r="I58" s="268"/>
      <c r="J58" s="298"/>
      <c r="K58" s="268"/>
      <c r="L58" s="268"/>
      <c r="M58" s="268"/>
    </row>
    <row r="59" spans="1:13" ht="22.5" customHeight="1">
      <c r="A59" s="276">
        <v>29</v>
      </c>
      <c r="B59" s="282"/>
      <c r="C59" s="277" t="s">
        <v>1155</v>
      </c>
      <c r="D59" s="267" t="s">
        <v>1156</v>
      </c>
      <c r="E59" s="267" t="s">
        <v>1001</v>
      </c>
      <c r="F59" s="31">
        <v>1</v>
      </c>
      <c r="G59" s="31" t="s">
        <v>1157</v>
      </c>
      <c r="H59" s="31" t="s">
        <v>1158</v>
      </c>
      <c r="I59" s="267" t="s">
        <v>1159</v>
      </c>
      <c r="J59" s="297" t="s">
        <v>1017</v>
      </c>
      <c r="K59" s="273" t="s">
        <v>497</v>
      </c>
      <c r="L59" s="267" t="s">
        <v>498</v>
      </c>
      <c r="M59" s="271" t="str">
        <f>HYPERLINK("D:\RaoVat_AutomationTesting\Screenshots\Fail_CP29.png", "Xem ảnh lỗi")</f>
        <v>Xem ảnh lỗi</v>
      </c>
    </row>
    <row r="60" spans="1:13" ht="22.5" customHeight="1">
      <c r="A60" s="275"/>
      <c r="B60" s="282"/>
      <c r="C60" s="278"/>
      <c r="D60" s="268"/>
      <c r="E60" s="268"/>
      <c r="F60" s="31">
        <v>2</v>
      </c>
      <c r="G60" s="31" t="s">
        <v>1160</v>
      </c>
      <c r="H60" s="31"/>
      <c r="I60" s="268"/>
      <c r="J60" s="298"/>
      <c r="K60" s="268"/>
      <c r="L60" s="268"/>
      <c r="M60" s="268"/>
    </row>
    <row r="61" spans="1:13" ht="22.5" customHeight="1">
      <c r="A61" s="276">
        <v>30</v>
      </c>
      <c r="B61" s="282"/>
      <c r="C61" s="277" t="s">
        <v>1161</v>
      </c>
      <c r="D61" s="267" t="s">
        <v>1162</v>
      </c>
      <c r="E61" s="267" t="s">
        <v>1001</v>
      </c>
      <c r="F61" s="31">
        <v>1</v>
      </c>
      <c r="G61" s="31" t="s">
        <v>1163</v>
      </c>
      <c r="H61" s="31" t="s">
        <v>1164</v>
      </c>
      <c r="I61" s="267" t="s">
        <v>1165</v>
      </c>
      <c r="J61" s="297" t="s">
        <v>1011</v>
      </c>
      <c r="K61" s="270" t="s">
        <v>992</v>
      </c>
      <c r="L61" s="267" t="s">
        <v>498</v>
      </c>
      <c r="M61" s="271" t="str">
        <f>HYPERLINK("D:\RaoVat_AutomationTesting\Screenshots\Pass_CP30.png", "Xem ảnh lỗi")</f>
        <v>Xem ảnh lỗi</v>
      </c>
    </row>
    <row r="62" spans="1:13" ht="22.5" customHeight="1">
      <c r="A62" s="275"/>
      <c r="B62" s="282"/>
      <c r="C62" s="278"/>
      <c r="D62" s="268"/>
      <c r="E62" s="268"/>
      <c r="F62" s="31">
        <v>2</v>
      </c>
      <c r="G62" s="31" t="s">
        <v>1166</v>
      </c>
      <c r="H62" s="31"/>
      <c r="I62" s="268"/>
      <c r="J62" s="298"/>
      <c r="K62" s="268"/>
      <c r="L62" s="268"/>
      <c r="M62" s="268"/>
    </row>
    <row r="63" spans="1:13" ht="47.25" customHeight="1">
      <c r="A63" s="276">
        <v>31</v>
      </c>
      <c r="B63" s="282"/>
      <c r="C63" s="277" t="s">
        <v>1167</v>
      </c>
      <c r="D63" s="267" t="s">
        <v>1168</v>
      </c>
      <c r="E63" s="267" t="s">
        <v>987</v>
      </c>
      <c r="F63" s="31">
        <v>1</v>
      </c>
      <c r="G63" s="31" t="s">
        <v>1169</v>
      </c>
      <c r="H63" s="31" t="s">
        <v>1170</v>
      </c>
      <c r="I63" s="267" t="s">
        <v>1171</v>
      </c>
      <c r="J63" s="297" t="s">
        <v>1017</v>
      </c>
      <c r="K63" s="273" t="s">
        <v>497</v>
      </c>
      <c r="L63" s="267" t="s">
        <v>498</v>
      </c>
      <c r="M63" s="271" t="str">
        <f>HYPERLINK("D:\RaoVat_AutomationTesting\Screenshots\Fail_CP31.png", "Xem ảnh lỗi")</f>
        <v>Xem ảnh lỗi</v>
      </c>
    </row>
    <row r="64" spans="1:13" ht="47.25" customHeight="1">
      <c r="A64" s="275"/>
      <c r="B64" s="282"/>
      <c r="C64" s="278"/>
      <c r="D64" s="268"/>
      <c r="E64" s="268"/>
      <c r="F64" s="31">
        <v>2</v>
      </c>
      <c r="G64" s="31" t="s">
        <v>993</v>
      </c>
      <c r="H64" s="31"/>
      <c r="I64" s="268" t="s">
        <v>1172</v>
      </c>
      <c r="J64" s="298"/>
      <c r="K64" s="268"/>
      <c r="L64" s="268"/>
      <c r="M64" s="268"/>
    </row>
    <row r="65" spans="1:13" ht="47.25" customHeight="1">
      <c r="A65" s="276">
        <v>32</v>
      </c>
      <c r="B65" s="282"/>
      <c r="C65" s="277" t="s">
        <v>1173</v>
      </c>
      <c r="D65" s="267" t="s">
        <v>1174</v>
      </c>
      <c r="E65" s="267" t="s">
        <v>1175</v>
      </c>
      <c r="F65" s="31">
        <v>1</v>
      </c>
      <c r="G65" s="31" t="s">
        <v>1176</v>
      </c>
      <c r="H65" s="31" t="s">
        <v>1177</v>
      </c>
      <c r="I65" s="267" t="s">
        <v>1178</v>
      </c>
      <c r="J65" s="297" t="s">
        <v>1011</v>
      </c>
      <c r="K65" s="270" t="s">
        <v>992</v>
      </c>
      <c r="L65" s="267" t="s">
        <v>498</v>
      </c>
      <c r="M65" s="271" t="str">
        <f>HYPERLINK("D:\RaoVat_AutomationTesting\Screenshots\Pass_CP32.png", "Xem ảnh lỗi")</f>
        <v>Xem ảnh lỗi</v>
      </c>
    </row>
    <row r="66" spans="1:13" ht="47.25" customHeight="1">
      <c r="A66" s="275"/>
      <c r="B66" s="282"/>
      <c r="C66" s="278"/>
      <c r="D66" s="268"/>
      <c r="E66" s="268"/>
      <c r="F66" s="31">
        <v>2</v>
      </c>
      <c r="G66" s="31" t="s">
        <v>1179</v>
      </c>
      <c r="H66" s="31" t="s">
        <v>1180</v>
      </c>
      <c r="I66" s="268" t="s">
        <v>1181</v>
      </c>
      <c r="J66" s="298"/>
      <c r="K66" s="268"/>
      <c r="L66" s="268"/>
      <c r="M66" s="268"/>
    </row>
    <row r="67" spans="1:13" ht="47.25" customHeight="1">
      <c r="A67" s="276">
        <v>33</v>
      </c>
      <c r="B67" s="282"/>
      <c r="C67" s="277" t="s">
        <v>1182</v>
      </c>
      <c r="D67" s="267" t="s">
        <v>1183</v>
      </c>
      <c r="E67" s="267" t="s">
        <v>1184</v>
      </c>
      <c r="F67" s="31">
        <v>1</v>
      </c>
      <c r="G67" s="31" t="s">
        <v>1185</v>
      </c>
      <c r="H67" s="31" t="s">
        <v>1186</v>
      </c>
      <c r="I67" s="267" t="s">
        <v>1187</v>
      </c>
      <c r="J67" s="297" t="s">
        <v>991</v>
      </c>
      <c r="K67" s="270" t="s">
        <v>992</v>
      </c>
      <c r="L67" s="267" t="s">
        <v>498</v>
      </c>
      <c r="M67" s="271" t="str">
        <f>HYPERLINK("D:\RaoVat_AutomationTesting\Screenshots\Fail_CP33.png", "Xem ảnh lỗi")</f>
        <v>Xem ảnh lỗi</v>
      </c>
    </row>
    <row r="68" spans="1:13" ht="47.25" customHeight="1">
      <c r="A68" s="275"/>
      <c r="B68" s="282"/>
      <c r="C68" s="278"/>
      <c r="D68" s="268"/>
      <c r="E68" s="268"/>
      <c r="F68" s="31">
        <v>2</v>
      </c>
      <c r="G68" s="31" t="s">
        <v>1188</v>
      </c>
      <c r="H68" s="31"/>
      <c r="I68" s="268" t="s">
        <v>1189</v>
      </c>
      <c r="J68" s="298"/>
      <c r="K68" s="268"/>
      <c r="L68" s="268"/>
      <c r="M68" s="268"/>
    </row>
    <row r="69" spans="1:13" ht="22.5" customHeight="1">
      <c r="A69" s="276">
        <v>36</v>
      </c>
      <c r="B69" s="288" t="s">
        <v>1190</v>
      </c>
      <c r="C69" s="277" t="s">
        <v>1191</v>
      </c>
      <c r="D69" s="267" t="s">
        <v>1192</v>
      </c>
      <c r="E69" s="267" t="s">
        <v>1193</v>
      </c>
      <c r="F69" s="31">
        <v>1</v>
      </c>
      <c r="G69" s="31" t="s">
        <v>1194</v>
      </c>
      <c r="H69" s="31" t="s">
        <v>1195</v>
      </c>
      <c r="I69" s="267" t="s">
        <v>1196</v>
      </c>
      <c r="J69" s="297" t="s">
        <v>1197</v>
      </c>
      <c r="K69" s="270" t="s">
        <v>992</v>
      </c>
      <c r="L69" s="267" t="s">
        <v>498</v>
      </c>
      <c r="M69" s="271" t="str">
        <f>HYPERLINK("D:\RaoVat_AutomationTesting\Screenshots\Pass_ED01.png", "Xem ảnh lỗi")</f>
        <v>Xem ảnh lỗi</v>
      </c>
    </row>
    <row r="70" spans="1:13" ht="22.5" customHeight="1">
      <c r="A70" s="275"/>
      <c r="B70" s="282"/>
      <c r="C70" s="278"/>
      <c r="D70" s="268"/>
      <c r="E70" s="268"/>
      <c r="F70" s="31">
        <v>2</v>
      </c>
      <c r="G70" s="31" t="s">
        <v>1198</v>
      </c>
      <c r="H70" s="31"/>
      <c r="I70" s="268"/>
      <c r="J70" s="298"/>
      <c r="K70" s="268"/>
      <c r="L70" s="268"/>
      <c r="M70" s="268"/>
    </row>
    <row r="71" spans="1:13" ht="22.5" customHeight="1">
      <c r="A71" s="276">
        <v>37</v>
      </c>
      <c r="B71" s="282"/>
      <c r="C71" s="277" t="s">
        <v>1199</v>
      </c>
      <c r="D71" s="267" t="s">
        <v>1200</v>
      </c>
      <c r="E71" s="267" t="s">
        <v>1201</v>
      </c>
      <c r="F71" s="31">
        <v>1</v>
      </c>
      <c r="G71" s="31" t="s">
        <v>1202</v>
      </c>
      <c r="H71" s="31" t="s">
        <v>996</v>
      </c>
      <c r="I71" s="267" t="s">
        <v>1203</v>
      </c>
      <c r="J71" s="297"/>
      <c r="K71" s="270"/>
      <c r="L71" s="267"/>
      <c r="M71" s="271"/>
    </row>
    <row r="72" spans="1:13" ht="22.5" customHeight="1">
      <c r="A72" s="275"/>
      <c r="B72" s="282"/>
      <c r="C72" s="278"/>
      <c r="D72" s="268"/>
      <c r="E72" s="268"/>
      <c r="F72" s="31">
        <v>2</v>
      </c>
      <c r="G72" s="31" t="s">
        <v>1204</v>
      </c>
      <c r="H72" s="31"/>
      <c r="I72" s="268"/>
      <c r="J72" s="298"/>
      <c r="K72" s="268"/>
      <c r="L72" s="268"/>
      <c r="M72" s="268"/>
    </row>
    <row r="73" spans="1:13" ht="22.5" customHeight="1">
      <c r="A73" s="276">
        <v>38</v>
      </c>
      <c r="B73" s="282"/>
      <c r="C73" s="277" t="s">
        <v>1205</v>
      </c>
      <c r="D73" s="267" t="s">
        <v>1206</v>
      </c>
      <c r="E73" s="267" t="s">
        <v>1201</v>
      </c>
      <c r="F73" s="31">
        <v>1</v>
      </c>
      <c r="G73" s="31" t="s">
        <v>1207</v>
      </c>
      <c r="H73" s="31" t="s">
        <v>1208</v>
      </c>
      <c r="I73" s="267" t="s">
        <v>1209</v>
      </c>
      <c r="J73" s="297" t="s">
        <v>1197</v>
      </c>
      <c r="K73" s="270" t="s">
        <v>992</v>
      </c>
      <c r="L73" s="267" t="s">
        <v>498</v>
      </c>
      <c r="M73" s="271" t="str">
        <f>HYPERLINK("D:\RaoVat_AutomationTesting\Screenshots\Pass_ED03.png", "Xem ảnh lỗi")</f>
        <v>Xem ảnh lỗi</v>
      </c>
    </row>
    <row r="74" spans="1:13" ht="22.5" customHeight="1">
      <c r="A74" s="275"/>
      <c r="B74" s="282"/>
      <c r="C74" s="278"/>
      <c r="D74" s="268"/>
      <c r="E74" s="268"/>
      <c r="F74" s="31">
        <v>2</v>
      </c>
      <c r="G74" s="31" t="s">
        <v>1204</v>
      </c>
      <c r="H74" s="31"/>
      <c r="I74" s="268"/>
      <c r="J74" s="298"/>
      <c r="K74" s="268"/>
      <c r="L74" s="268"/>
      <c r="M74" s="268"/>
    </row>
    <row r="75" spans="1:13" ht="22.5" customHeight="1">
      <c r="A75" s="276">
        <v>39</v>
      </c>
      <c r="B75" s="282"/>
      <c r="C75" s="277" t="s">
        <v>1210</v>
      </c>
      <c r="D75" s="267" t="s">
        <v>1211</v>
      </c>
      <c r="E75" s="267" t="s">
        <v>1201</v>
      </c>
      <c r="F75" s="31">
        <v>1</v>
      </c>
      <c r="G75" s="31" t="s">
        <v>1212</v>
      </c>
      <c r="H75" s="31" t="s">
        <v>1213</v>
      </c>
      <c r="I75" s="267" t="s">
        <v>1214</v>
      </c>
      <c r="J75" s="297"/>
      <c r="K75" s="270"/>
      <c r="L75" s="267"/>
      <c r="M75" s="271"/>
    </row>
    <row r="76" spans="1:13" ht="22.5" customHeight="1">
      <c r="A76" s="275"/>
      <c r="B76" s="282"/>
      <c r="C76" s="278"/>
      <c r="D76" s="268"/>
      <c r="E76" s="268"/>
      <c r="F76" s="31">
        <v>2</v>
      </c>
      <c r="G76" s="31" t="s">
        <v>1204</v>
      </c>
      <c r="H76" s="31"/>
      <c r="I76" s="268"/>
      <c r="J76" s="298"/>
      <c r="K76" s="268"/>
      <c r="L76" s="268"/>
      <c r="M76" s="268"/>
    </row>
    <row r="77" spans="1:13" ht="22.5" customHeight="1">
      <c r="A77" s="276">
        <v>40</v>
      </c>
      <c r="B77" s="282"/>
      <c r="C77" s="277" t="s">
        <v>1215</v>
      </c>
      <c r="D77" s="267" t="s">
        <v>1216</v>
      </c>
      <c r="E77" s="267" t="s">
        <v>1193</v>
      </c>
      <c r="F77" s="31">
        <v>1</v>
      </c>
      <c r="G77" s="31" t="s">
        <v>1217</v>
      </c>
      <c r="H77" s="31" t="s">
        <v>1218</v>
      </c>
      <c r="I77" s="267" t="s">
        <v>1219</v>
      </c>
      <c r="J77" s="297"/>
      <c r="K77" s="270"/>
      <c r="L77" s="267"/>
      <c r="M77" s="267"/>
    </row>
    <row r="78" spans="1:13" ht="22.5" customHeight="1">
      <c r="A78" s="275"/>
      <c r="B78" s="282"/>
      <c r="C78" s="278"/>
      <c r="D78" s="268"/>
      <c r="E78" s="268"/>
      <c r="F78" s="31">
        <v>2</v>
      </c>
      <c r="G78" s="31" t="s">
        <v>1220</v>
      </c>
      <c r="H78" s="31"/>
      <c r="I78" s="268"/>
      <c r="J78" s="298"/>
      <c r="K78" s="268"/>
      <c r="L78" s="268"/>
      <c r="M78" s="268"/>
    </row>
    <row r="79" spans="1:13" ht="22.5" customHeight="1">
      <c r="A79" s="276">
        <v>41</v>
      </c>
      <c r="B79" s="282"/>
      <c r="C79" s="277" t="s">
        <v>1221</v>
      </c>
      <c r="D79" s="267" t="s">
        <v>1222</v>
      </c>
      <c r="E79" s="267" t="s">
        <v>1193</v>
      </c>
      <c r="F79" s="31">
        <v>1</v>
      </c>
      <c r="G79" s="31" t="s">
        <v>1217</v>
      </c>
      <c r="H79" s="31" t="s">
        <v>1223</v>
      </c>
      <c r="I79" s="267" t="s">
        <v>1224</v>
      </c>
      <c r="J79" s="297" t="s">
        <v>1225</v>
      </c>
      <c r="K79" s="270" t="s">
        <v>992</v>
      </c>
      <c r="L79" s="267" t="s">
        <v>498</v>
      </c>
      <c r="M79" s="272" t="str">
        <f>HYPERLINK("D:\RaoVat_AutomationTesting\Screenshots\Fail_ED06.png", "Xem ảnh lỗi")</f>
        <v>Xem ảnh lỗi</v>
      </c>
    </row>
    <row r="80" spans="1:13" ht="22.5" customHeight="1">
      <c r="A80" s="275"/>
      <c r="B80" s="282"/>
      <c r="C80" s="278"/>
      <c r="D80" s="268"/>
      <c r="E80" s="268"/>
      <c r="F80" s="31">
        <v>2</v>
      </c>
      <c r="G80" s="31" t="s">
        <v>1226</v>
      </c>
      <c r="H80" s="31"/>
      <c r="I80" s="268"/>
      <c r="J80" s="298"/>
      <c r="K80" s="268"/>
      <c r="L80" s="268"/>
      <c r="M80" s="268"/>
    </row>
    <row r="81" spans="1:13" ht="22.5" customHeight="1">
      <c r="A81" s="276">
        <v>42</v>
      </c>
      <c r="B81" s="282"/>
      <c r="C81" s="277" t="s">
        <v>1227</v>
      </c>
      <c r="D81" s="267" t="s">
        <v>1228</v>
      </c>
      <c r="E81" s="267" t="s">
        <v>1229</v>
      </c>
      <c r="F81" s="31">
        <v>1</v>
      </c>
      <c r="G81" s="31" t="s">
        <v>1230</v>
      </c>
      <c r="H81" s="31" t="s">
        <v>1231</v>
      </c>
      <c r="I81" s="267" t="s">
        <v>1232</v>
      </c>
      <c r="J81" s="297" t="s">
        <v>1225</v>
      </c>
      <c r="K81" s="270" t="s">
        <v>992</v>
      </c>
      <c r="L81" s="267" t="s">
        <v>498</v>
      </c>
      <c r="M81" s="271" t="str">
        <f>HYPERLINK("D:\RaoVat_AutomationTesting\Screenshots\Fail_ED07.png", "Xem ảnh lỗi")</f>
        <v>Xem ảnh lỗi</v>
      </c>
    </row>
    <row r="82" spans="1:13" ht="22.5" customHeight="1">
      <c r="A82" s="275"/>
      <c r="B82" s="282"/>
      <c r="C82" s="278"/>
      <c r="D82" s="268"/>
      <c r="E82" s="268"/>
      <c r="F82" s="31">
        <v>2</v>
      </c>
      <c r="G82" s="31" t="s">
        <v>1233</v>
      </c>
      <c r="H82" s="31"/>
      <c r="I82" s="268"/>
      <c r="J82" s="298"/>
      <c r="K82" s="268"/>
      <c r="L82" s="268"/>
      <c r="M82" s="268"/>
    </row>
    <row r="83" spans="1:13" ht="22.5" customHeight="1">
      <c r="A83" s="276">
        <v>43</v>
      </c>
      <c r="B83" s="282"/>
      <c r="C83" s="277" t="s">
        <v>1234</v>
      </c>
      <c r="D83" s="267" t="s">
        <v>1235</v>
      </c>
      <c r="E83" s="267" t="s">
        <v>1236</v>
      </c>
      <c r="F83" s="31">
        <v>1</v>
      </c>
      <c r="G83" s="31" t="s">
        <v>1237</v>
      </c>
      <c r="H83" s="31" t="s">
        <v>1238</v>
      </c>
      <c r="I83" s="267" t="s">
        <v>1239</v>
      </c>
      <c r="J83" s="297" t="s">
        <v>1225</v>
      </c>
      <c r="K83" s="270" t="s">
        <v>992</v>
      </c>
      <c r="L83" s="267" t="s">
        <v>498</v>
      </c>
      <c r="M83" s="271" t="str">
        <f>HYPERLINK("D:\RaoVat_AutomationTesting\Screenshots\Fail_ED08.png", "Xem ảnh lỗi")</f>
        <v>Xem ảnh lỗi</v>
      </c>
    </row>
    <row r="84" spans="1:13" ht="22.5" customHeight="1">
      <c r="A84" s="275"/>
      <c r="B84" s="282"/>
      <c r="C84" s="278"/>
      <c r="D84" s="268"/>
      <c r="E84" s="268"/>
      <c r="F84" s="31">
        <v>2</v>
      </c>
      <c r="G84" s="31" t="s">
        <v>1240</v>
      </c>
      <c r="H84" s="31"/>
      <c r="I84" s="268"/>
      <c r="J84" s="298"/>
      <c r="K84" s="268"/>
      <c r="L84" s="268"/>
      <c r="M84" s="268"/>
    </row>
    <row r="85" spans="1:13" ht="22.5" customHeight="1">
      <c r="A85" s="276">
        <v>44</v>
      </c>
      <c r="B85" s="282"/>
      <c r="C85" s="277" t="s">
        <v>1241</v>
      </c>
      <c r="D85" s="267" t="s">
        <v>1242</v>
      </c>
      <c r="E85" s="267" t="s">
        <v>1193</v>
      </c>
      <c r="F85" s="31">
        <v>1</v>
      </c>
      <c r="G85" s="31" t="s">
        <v>1243</v>
      </c>
      <c r="H85" s="31" t="s">
        <v>1244</v>
      </c>
      <c r="I85" s="267" t="s">
        <v>1245</v>
      </c>
      <c r="J85" s="297" t="s">
        <v>1225</v>
      </c>
      <c r="K85" s="270" t="s">
        <v>992</v>
      </c>
      <c r="L85" s="267" t="s">
        <v>498</v>
      </c>
      <c r="M85" s="271" t="str">
        <f>HYPERLINK("D:\RaoVat_AutomationTesting\Screenshots\Fail_ED09.png", "Xem ảnh lỗi")</f>
        <v>Xem ảnh lỗi</v>
      </c>
    </row>
    <row r="86" spans="1:13" ht="22.5" customHeight="1">
      <c r="A86" s="275"/>
      <c r="B86" s="282"/>
      <c r="C86" s="278"/>
      <c r="D86" s="268"/>
      <c r="E86" s="268"/>
      <c r="F86" s="31">
        <v>2</v>
      </c>
      <c r="G86" s="31" t="s">
        <v>1246</v>
      </c>
      <c r="H86" s="31"/>
      <c r="I86" s="268"/>
      <c r="J86" s="298"/>
      <c r="K86" s="268"/>
      <c r="L86" s="268"/>
      <c r="M86" s="268"/>
    </row>
    <row r="87" spans="1:13" ht="22.5" customHeight="1">
      <c r="A87" s="276">
        <v>45</v>
      </c>
      <c r="B87" s="282"/>
      <c r="C87" s="277" t="s">
        <v>1247</v>
      </c>
      <c r="D87" s="267" t="s">
        <v>1248</v>
      </c>
      <c r="E87" s="267" t="s">
        <v>1249</v>
      </c>
      <c r="F87" s="31">
        <v>1</v>
      </c>
      <c r="G87" s="31" t="s">
        <v>1250</v>
      </c>
      <c r="H87" s="31" t="s">
        <v>1251</v>
      </c>
      <c r="I87" s="267" t="s">
        <v>1252</v>
      </c>
      <c r="J87" s="297" t="s">
        <v>1253</v>
      </c>
      <c r="K87" s="270" t="s">
        <v>992</v>
      </c>
      <c r="L87" s="267" t="s">
        <v>498</v>
      </c>
      <c r="M87" s="271" t="str">
        <f>HYPERLINK("D:\RaoVat_AutomationTesting\Screenshots\Fail_ED10.png", "Xem ảnh lỗi")</f>
        <v>Xem ảnh lỗi</v>
      </c>
    </row>
    <row r="88" spans="1:13" ht="22.5" customHeight="1">
      <c r="A88" s="275"/>
      <c r="B88" s="282"/>
      <c r="C88" s="278"/>
      <c r="D88" s="268"/>
      <c r="E88" s="268"/>
      <c r="F88" s="31">
        <v>2</v>
      </c>
      <c r="G88" s="31" t="s">
        <v>1254</v>
      </c>
      <c r="H88" s="31"/>
      <c r="I88" s="268"/>
      <c r="J88" s="298"/>
      <c r="K88" s="268"/>
      <c r="L88" s="268"/>
      <c r="M88" s="268"/>
    </row>
    <row r="89" spans="1:13" ht="31.5" customHeight="1">
      <c r="A89" s="276">
        <v>46</v>
      </c>
      <c r="B89" s="282"/>
      <c r="C89" s="277" t="s">
        <v>1255</v>
      </c>
      <c r="D89" s="267" t="s">
        <v>1256</v>
      </c>
      <c r="E89" s="267" t="s">
        <v>1257</v>
      </c>
      <c r="F89" s="31">
        <v>1</v>
      </c>
      <c r="G89" s="31" t="s">
        <v>1258</v>
      </c>
      <c r="H89" s="31" t="s">
        <v>1259</v>
      </c>
      <c r="I89" s="267" t="s">
        <v>1260</v>
      </c>
      <c r="J89" s="297" t="s">
        <v>1253</v>
      </c>
      <c r="K89" s="270" t="s">
        <v>992</v>
      </c>
      <c r="L89" s="267" t="s">
        <v>498</v>
      </c>
      <c r="M89" s="271" t="str">
        <f>HYPERLINK("D:\RaoVat_AutomationTesting\Screenshots\Fail_ED11.png", "Xem ảnh lỗi")</f>
        <v>Xem ảnh lỗi</v>
      </c>
    </row>
    <row r="90" spans="1:13" ht="31.5" customHeight="1">
      <c r="A90" s="275"/>
      <c r="B90" s="282"/>
      <c r="C90" s="278"/>
      <c r="D90" s="268"/>
      <c r="E90" s="268"/>
      <c r="F90" s="31">
        <v>2</v>
      </c>
      <c r="G90" s="31" t="s">
        <v>1261</v>
      </c>
      <c r="H90" s="31"/>
      <c r="I90" s="268" t="s">
        <v>1262</v>
      </c>
      <c r="J90" s="298"/>
      <c r="K90" s="268"/>
      <c r="L90" s="268"/>
      <c r="M90" s="268"/>
    </row>
    <row r="91" spans="1:13" ht="31.5" customHeight="1">
      <c r="A91" s="276">
        <v>47</v>
      </c>
      <c r="B91" s="282"/>
      <c r="C91" s="277" t="s">
        <v>1263</v>
      </c>
      <c r="D91" s="267" t="s">
        <v>1264</v>
      </c>
      <c r="E91" s="267" t="s">
        <v>1265</v>
      </c>
      <c r="F91" s="31">
        <v>1</v>
      </c>
      <c r="G91" s="31" t="s">
        <v>1266</v>
      </c>
      <c r="H91" s="31" t="s">
        <v>1267</v>
      </c>
      <c r="I91" s="267" t="s">
        <v>1268</v>
      </c>
      <c r="J91" s="297" t="s">
        <v>1225</v>
      </c>
      <c r="K91" s="270" t="s">
        <v>992</v>
      </c>
      <c r="L91" s="267" t="s">
        <v>498</v>
      </c>
      <c r="M91" s="271" t="str">
        <f>HYPERLINK("D:\RaoVat_AutomationTesting\Screenshots\Fail_ED12.png", "Xem ảnh lỗi")</f>
        <v>Xem ảnh lỗi</v>
      </c>
    </row>
    <row r="92" spans="1:13" ht="31.5" customHeight="1">
      <c r="A92" s="275"/>
      <c r="B92" s="282"/>
      <c r="C92" s="278"/>
      <c r="D92" s="268"/>
      <c r="E92" s="268"/>
      <c r="F92" s="31">
        <v>2</v>
      </c>
      <c r="G92" s="31" t="s">
        <v>1269</v>
      </c>
      <c r="H92" s="31"/>
      <c r="I92" s="268" t="s">
        <v>1270</v>
      </c>
      <c r="J92" s="298"/>
      <c r="K92" s="268"/>
      <c r="L92" s="268"/>
      <c r="M92" s="268"/>
    </row>
    <row r="93" spans="1:13" ht="31.5" customHeight="1">
      <c r="A93" s="276">
        <v>48</v>
      </c>
      <c r="B93" s="282"/>
      <c r="C93" s="277" t="s">
        <v>1271</v>
      </c>
      <c r="D93" s="267" t="s">
        <v>1272</v>
      </c>
      <c r="E93" s="267" t="s">
        <v>1273</v>
      </c>
      <c r="F93" s="31">
        <v>1</v>
      </c>
      <c r="G93" s="31" t="s">
        <v>1274</v>
      </c>
      <c r="H93" s="31" t="s">
        <v>1275</v>
      </c>
      <c r="I93" s="267" t="s">
        <v>1276</v>
      </c>
      <c r="J93" s="297" t="s">
        <v>1277</v>
      </c>
      <c r="K93" s="270" t="s">
        <v>992</v>
      </c>
      <c r="L93" s="267" t="s">
        <v>498</v>
      </c>
      <c r="M93" s="271" t="str">
        <f>HYPERLINK("D:\RaoVat_AutomationTesting\Screenshots\Fail_ED13.png", "Xem ảnh lỗi")</f>
        <v>Xem ảnh lỗi</v>
      </c>
    </row>
    <row r="94" spans="1:13" ht="31.5" customHeight="1">
      <c r="A94" s="275"/>
      <c r="B94" s="282"/>
      <c r="C94" s="278"/>
      <c r="D94" s="268"/>
      <c r="E94" s="268"/>
      <c r="F94" s="31">
        <v>2</v>
      </c>
      <c r="G94" s="31" t="s">
        <v>1278</v>
      </c>
      <c r="H94" s="31" t="s">
        <v>1279</v>
      </c>
      <c r="I94" s="268" t="s">
        <v>1280</v>
      </c>
      <c r="J94" s="298"/>
      <c r="K94" s="268"/>
      <c r="L94" s="268"/>
      <c r="M94" s="268"/>
    </row>
    <row r="95" spans="1:13" ht="31.5" customHeight="1">
      <c r="A95" s="276">
        <v>49</v>
      </c>
      <c r="B95" s="282"/>
      <c r="C95" s="277" t="s">
        <v>1281</v>
      </c>
      <c r="D95" s="267" t="s">
        <v>1282</v>
      </c>
      <c r="E95" s="267" t="s">
        <v>1283</v>
      </c>
      <c r="F95" s="31">
        <v>1</v>
      </c>
      <c r="G95" s="31" t="s">
        <v>1284</v>
      </c>
      <c r="H95" s="31" t="s">
        <v>1285</v>
      </c>
      <c r="I95" s="267" t="s">
        <v>1286</v>
      </c>
      <c r="J95" s="297" t="s">
        <v>1287</v>
      </c>
      <c r="K95" s="270" t="s">
        <v>992</v>
      </c>
      <c r="L95" s="267" t="s">
        <v>498</v>
      </c>
      <c r="M95" s="271" t="str">
        <f>HYPERLINK("D:\RaoVat_AutomationTesting\Screenshots\Fail_ED14.png", "Xem ảnh lỗi")</f>
        <v>Xem ảnh lỗi</v>
      </c>
    </row>
    <row r="96" spans="1:13" ht="31.5" customHeight="1">
      <c r="A96" s="275"/>
      <c r="B96" s="282"/>
      <c r="C96" s="278"/>
      <c r="D96" s="268"/>
      <c r="E96" s="268"/>
      <c r="F96" s="31">
        <v>2</v>
      </c>
      <c r="G96" s="31" t="s">
        <v>1288</v>
      </c>
      <c r="H96" s="31"/>
      <c r="I96" s="268" t="s">
        <v>1289</v>
      </c>
      <c r="J96" s="298"/>
      <c r="K96" s="268"/>
      <c r="L96" s="268"/>
      <c r="M96" s="268"/>
    </row>
    <row r="97" spans="1:13" ht="31.5" customHeight="1">
      <c r="A97" s="276">
        <v>50</v>
      </c>
      <c r="B97" s="282"/>
      <c r="C97" s="277" t="s">
        <v>1290</v>
      </c>
      <c r="D97" s="267" t="s">
        <v>1291</v>
      </c>
      <c r="E97" s="267" t="s">
        <v>1292</v>
      </c>
      <c r="F97" s="31">
        <v>1</v>
      </c>
      <c r="G97" s="31" t="s">
        <v>1293</v>
      </c>
      <c r="H97" s="31" t="s">
        <v>1294</v>
      </c>
      <c r="I97" s="267" t="s">
        <v>1295</v>
      </c>
      <c r="J97" s="297" t="s">
        <v>1197</v>
      </c>
      <c r="K97" s="270" t="s">
        <v>992</v>
      </c>
      <c r="L97" s="267" t="s">
        <v>498</v>
      </c>
      <c r="M97" s="271" t="str">
        <f>HYPERLINK("D:\RaoVat_AutomationTesting\Screenshots\Pass_ED15.png", "Xem ảnh lỗi")</f>
        <v>Xem ảnh lỗi</v>
      </c>
    </row>
    <row r="98" spans="1:13" ht="31.5" customHeight="1">
      <c r="A98" s="275"/>
      <c r="B98" s="289"/>
      <c r="C98" s="278"/>
      <c r="D98" s="268"/>
      <c r="E98" s="268"/>
      <c r="F98" s="31">
        <v>2</v>
      </c>
      <c r="G98" s="31" t="s">
        <v>1296</v>
      </c>
      <c r="H98" s="31" t="s">
        <v>1180</v>
      </c>
      <c r="I98" s="268" t="s">
        <v>1297</v>
      </c>
      <c r="J98" s="298"/>
      <c r="K98" s="268"/>
      <c r="L98" s="268"/>
      <c r="M98" s="268"/>
    </row>
    <row r="99" spans="1:13" ht="22.5" customHeight="1">
      <c r="A99" s="276">
        <v>51</v>
      </c>
      <c r="B99" s="288" t="s">
        <v>1298</v>
      </c>
      <c r="C99" s="277" t="s">
        <v>1299</v>
      </c>
      <c r="D99" s="267" t="s">
        <v>1300</v>
      </c>
      <c r="E99" s="267" t="s">
        <v>1301</v>
      </c>
      <c r="F99" s="31">
        <v>1</v>
      </c>
      <c r="G99" s="31" t="s">
        <v>1302</v>
      </c>
      <c r="H99" s="31" t="s">
        <v>1303</v>
      </c>
      <c r="I99" s="267" t="s">
        <v>1304</v>
      </c>
      <c r="J99" s="297"/>
      <c r="K99" s="267"/>
      <c r="L99" s="267"/>
      <c r="M99" s="267"/>
    </row>
    <row r="100" spans="1:13" ht="22.5" customHeight="1">
      <c r="A100" s="275"/>
      <c r="B100" s="282"/>
      <c r="C100" s="278"/>
      <c r="D100" s="268"/>
      <c r="E100" s="268"/>
      <c r="F100" s="31">
        <v>2</v>
      </c>
      <c r="G100" s="31" t="s">
        <v>1305</v>
      </c>
      <c r="H100" s="31"/>
      <c r="I100" s="268"/>
      <c r="J100" s="298"/>
      <c r="K100" s="268"/>
      <c r="L100" s="268"/>
      <c r="M100" s="268"/>
    </row>
    <row r="101" spans="1:13" ht="22.5" customHeight="1">
      <c r="A101" s="276">
        <v>52</v>
      </c>
      <c r="B101" s="282"/>
      <c r="C101" s="277" t="s">
        <v>1306</v>
      </c>
      <c r="D101" s="267" t="s">
        <v>1307</v>
      </c>
      <c r="E101" s="267" t="s">
        <v>1301</v>
      </c>
      <c r="F101" s="31">
        <v>1</v>
      </c>
      <c r="G101" s="31" t="s">
        <v>1308</v>
      </c>
      <c r="H101" s="31" t="s">
        <v>1309</v>
      </c>
      <c r="I101" s="267" t="s">
        <v>1310</v>
      </c>
      <c r="J101" s="297"/>
      <c r="K101" s="267"/>
      <c r="L101" s="267"/>
      <c r="M101" s="267"/>
    </row>
    <row r="102" spans="1:13" ht="22.5" customHeight="1">
      <c r="A102" s="275"/>
      <c r="B102" s="282"/>
      <c r="C102" s="278"/>
      <c r="D102" s="268"/>
      <c r="E102" s="268"/>
      <c r="F102" s="31">
        <v>2</v>
      </c>
      <c r="G102" s="31" t="s">
        <v>1311</v>
      </c>
      <c r="H102" s="31"/>
      <c r="I102" s="268"/>
      <c r="J102" s="298"/>
      <c r="K102" s="268"/>
      <c r="L102" s="268"/>
      <c r="M102" s="268"/>
    </row>
    <row r="103" spans="1:13" ht="22.5" customHeight="1">
      <c r="A103" s="276">
        <v>53</v>
      </c>
      <c r="B103" s="282"/>
      <c r="C103" s="277" t="s">
        <v>1312</v>
      </c>
      <c r="D103" s="267" t="s">
        <v>1313</v>
      </c>
      <c r="E103" s="267" t="s">
        <v>1314</v>
      </c>
      <c r="F103" s="31">
        <v>1</v>
      </c>
      <c r="G103" s="31" t="s">
        <v>1315</v>
      </c>
      <c r="H103" s="31" t="s">
        <v>1195</v>
      </c>
      <c r="I103" s="267" t="s">
        <v>1316</v>
      </c>
      <c r="J103" s="297"/>
      <c r="K103" s="267"/>
      <c r="L103" s="267"/>
      <c r="M103" s="267"/>
    </row>
    <row r="104" spans="1:13" ht="22.5" customHeight="1">
      <c r="A104" s="275"/>
      <c r="B104" s="282"/>
      <c r="C104" s="278"/>
      <c r="D104" s="268"/>
      <c r="E104" s="268"/>
      <c r="F104" s="31">
        <v>2</v>
      </c>
      <c r="G104" s="31" t="s">
        <v>1317</v>
      </c>
      <c r="H104" s="31"/>
      <c r="I104" s="268"/>
      <c r="J104" s="298"/>
      <c r="K104" s="268"/>
      <c r="L104" s="268"/>
      <c r="M104" s="268"/>
    </row>
    <row r="105" spans="1:13" ht="22.5" customHeight="1">
      <c r="A105" s="276">
        <v>54</v>
      </c>
      <c r="B105" s="282"/>
      <c r="C105" s="277" t="s">
        <v>1318</v>
      </c>
      <c r="D105" s="267" t="s">
        <v>1319</v>
      </c>
      <c r="E105" s="267" t="s">
        <v>1320</v>
      </c>
      <c r="F105" s="31">
        <v>1</v>
      </c>
      <c r="G105" s="31" t="s">
        <v>1321</v>
      </c>
      <c r="H105" s="31" t="s">
        <v>1322</v>
      </c>
      <c r="I105" s="267" t="s">
        <v>1323</v>
      </c>
      <c r="J105" s="297"/>
      <c r="K105" s="267"/>
      <c r="L105" s="267"/>
      <c r="M105" s="267"/>
    </row>
    <row r="106" spans="1:13" ht="22.5" customHeight="1">
      <c r="A106" s="275"/>
      <c r="B106" s="282"/>
      <c r="C106" s="278"/>
      <c r="D106" s="268"/>
      <c r="E106" s="268"/>
      <c r="F106" s="31">
        <v>2</v>
      </c>
      <c r="G106" s="31" t="s">
        <v>1324</v>
      </c>
      <c r="H106" s="31"/>
      <c r="I106" s="268"/>
      <c r="J106" s="298"/>
      <c r="K106" s="268"/>
      <c r="L106" s="268"/>
      <c r="M106" s="268"/>
    </row>
    <row r="107" spans="1:13" ht="22.5" customHeight="1">
      <c r="A107" s="276">
        <v>55</v>
      </c>
      <c r="B107" s="282"/>
      <c r="C107" s="277" t="s">
        <v>1325</v>
      </c>
      <c r="D107" s="267" t="s">
        <v>1326</v>
      </c>
      <c r="E107" s="267" t="s">
        <v>1320</v>
      </c>
      <c r="F107" s="31">
        <v>1</v>
      </c>
      <c r="G107" s="31" t="s">
        <v>1327</v>
      </c>
      <c r="H107" s="31" t="s">
        <v>1328</v>
      </c>
      <c r="I107" s="267" t="s">
        <v>1329</v>
      </c>
      <c r="J107" s="297"/>
      <c r="K107" s="267"/>
      <c r="L107" s="267"/>
      <c r="M107" s="267"/>
    </row>
    <row r="108" spans="1:13" ht="22.5" customHeight="1">
      <c r="A108" s="275"/>
      <c r="B108" s="282"/>
      <c r="C108" s="278"/>
      <c r="D108" s="268"/>
      <c r="E108" s="268"/>
      <c r="F108" s="31">
        <v>2</v>
      </c>
      <c r="G108" s="31" t="s">
        <v>993</v>
      </c>
      <c r="H108" s="31"/>
      <c r="I108" s="268"/>
      <c r="J108" s="298"/>
      <c r="K108" s="268"/>
      <c r="L108" s="268"/>
      <c r="M108" s="268"/>
    </row>
    <row r="109" spans="1:13" ht="22.5" customHeight="1">
      <c r="A109" s="276">
        <v>56</v>
      </c>
      <c r="B109" s="282"/>
      <c r="C109" s="277" t="s">
        <v>1330</v>
      </c>
      <c r="D109" s="267" t="s">
        <v>1331</v>
      </c>
      <c r="E109" s="267" t="s">
        <v>1332</v>
      </c>
      <c r="F109" s="31">
        <v>1</v>
      </c>
      <c r="G109" s="31" t="s">
        <v>1333</v>
      </c>
      <c r="H109" s="31" t="s">
        <v>1334</v>
      </c>
      <c r="I109" s="267" t="s">
        <v>1335</v>
      </c>
      <c r="J109" s="297"/>
      <c r="K109" s="267"/>
      <c r="L109" s="267"/>
      <c r="M109" s="267"/>
    </row>
    <row r="110" spans="1:13" ht="22.5" customHeight="1">
      <c r="A110" s="275"/>
      <c r="B110" s="282"/>
      <c r="C110" s="278"/>
      <c r="D110" s="268"/>
      <c r="E110" s="268"/>
      <c r="F110" s="31">
        <v>2</v>
      </c>
      <c r="G110" s="31" t="s">
        <v>1336</v>
      </c>
      <c r="H110" s="31"/>
      <c r="I110" s="268"/>
      <c r="J110" s="298"/>
      <c r="K110" s="268"/>
      <c r="L110" s="268"/>
      <c r="M110" s="268"/>
    </row>
    <row r="111" spans="1:13" ht="22.5" customHeight="1">
      <c r="A111" s="276">
        <v>57</v>
      </c>
      <c r="B111" s="282"/>
      <c r="C111" s="277" t="s">
        <v>1337</v>
      </c>
      <c r="D111" s="267" t="s">
        <v>1338</v>
      </c>
      <c r="E111" s="267" t="s">
        <v>1339</v>
      </c>
      <c r="F111" s="31">
        <v>1</v>
      </c>
      <c r="G111" s="31" t="s">
        <v>1340</v>
      </c>
      <c r="H111" s="31" t="s">
        <v>1341</v>
      </c>
      <c r="I111" s="267" t="s">
        <v>1342</v>
      </c>
      <c r="J111" s="297"/>
      <c r="K111" s="267"/>
      <c r="L111" s="267"/>
      <c r="M111" s="267"/>
    </row>
    <row r="112" spans="1:13" ht="22.5" customHeight="1">
      <c r="A112" s="275"/>
      <c r="B112" s="289"/>
      <c r="C112" s="278"/>
      <c r="D112" s="268"/>
      <c r="E112" s="268"/>
      <c r="F112" s="31">
        <v>2</v>
      </c>
      <c r="G112" s="31" t="s">
        <v>1343</v>
      </c>
      <c r="H112" s="31"/>
      <c r="I112" s="268"/>
      <c r="J112" s="298"/>
      <c r="K112" s="268"/>
      <c r="L112" s="268"/>
      <c r="M112" s="268"/>
    </row>
    <row r="113" spans="1:13" ht="22.5" customHeight="1">
      <c r="A113" s="276">
        <v>58</v>
      </c>
      <c r="B113" s="288" t="s">
        <v>1344</v>
      </c>
      <c r="C113" s="277" t="s">
        <v>1345</v>
      </c>
      <c r="D113" s="267" t="s">
        <v>1346</v>
      </c>
      <c r="E113" s="267" t="s">
        <v>1347</v>
      </c>
      <c r="F113" s="31">
        <v>1</v>
      </c>
      <c r="G113" s="31" t="s">
        <v>1348</v>
      </c>
      <c r="H113" s="31" t="s">
        <v>1349</v>
      </c>
      <c r="I113" s="267" t="s">
        <v>1350</v>
      </c>
      <c r="J113" s="297"/>
      <c r="K113" s="267"/>
      <c r="L113" s="267"/>
      <c r="M113" s="267"/>
    </row>
    <row r="114" spans="1:13" ht="22.5" customHeight="1">
      <c r="A114" s="275"/>
      <c r="B114" s="282"/>
      <c r="C114" s="278"/>
      <c r="D114" s="268"/>
      <c r="E114" s="268"/>
      <c r="F114" s="31">
        <v>2</v>
      </c>
      <c r="G114" s="31" t="s">
        <v>1351</v>
      </c>
      <c r="H114" s="31"/>
      <c r="I114" s="268"/>
      <c r="J114" s="298"/>
      <c r="K114" s="268"/>
      <c r="L114" s="268"/>
      <c r="M114" s="268"/>
    </row>
    <row r="115" spans="1:13" ht="22.5" customHeight="1">
      <c r="A115" s="276">
        <v>59</v>
      </c>
      <c r="B115" s="282"/>
      <c r="C115" s="277" t="s">
        <v>1352</v>
      </c>
      <c r="D115" s="267" t="s">
        <v>1353</v>
      </c>
      <c r="E115" s="267" t="s">
        <v>1354</v>
      </c>
      <c r="F115" s="31">
        <v>1</v>
      </c>
      <c r="G115" s="31" t="s">
        <v>1355</v>
      </c>
      <c r="H115" s="31" t="s">
        <v>1356</v>
      </c>
      <c r="I115" s="267" t="s">
        <v>1357</v>
      </c>
      <c r="J115" s="297"/>
      <c r="K115" s="267"/>
      <c r="L115" s="267"/>
      <c r="M115" s="267"/>
    </row>
    <row r="116" spans="1:13" ht="22.5" customHeight="1">
      <c r="A116" s="275"/>
      <c r="B116" s="282"/>
      <c r="C116" s="278"/>
      <c r="D116" s="268"/>
      <c r="E116" s="268"/>
      <c r="F116" s="31">
        <v>2</v>
      </c>
      <c r="G116" s="31" t="s">
        <v>1358</v>
      </c>
      <c r="H116" s="31"/>
      <c r="I116" s="268"/>
      <c r="J116" s="298"/>
      <c r="K116" s="268"/>
      <c r="L116" s="268"/>
      <c r="M116" s="268"/>
    </row>
    <row r="117" spans="1:13" ht="22.5" customHeight="1">
      <c r="A117" s="276">
        <v>60</v>
      </c>
      <c r="B117" s="282"/>
      <c r="C117" s="277" t="s">
        <v>1359</v>
      </c>
      <c r="D117" s="267" t="s">
        <v>1360</v>
      </c>
      <c r="E117" s="267" t="s">
        <v>1361</v>
      </c>
      <c r="F117" s="31">
        <v>1</v>
      </c>
      <c r="G117" s="31" t="s">
        <v>1362</v>
      </c>
      <c r="H117" s="31" t="s">
        <v>1363</v>
      </c>
      <c r="I117" s="267" t="s">
        <v>1364</v>
      </c>
      <c r="J117" s="297"/>
      <c r="K117" s="267"/>
      <c r="L117" s="267"/>
      <c r="M117" s="267"/>
    </row>
    <row r="118" spans="1:13" ht="22.5" customHeight="1">
      <c r="A118" s="275"/>
      <c r="B118" s="282"/>
      <c r="C118" s="278"/>
      <c r="D118" s="268"/>
      <c r="E118" s="268"/>
      <c r="F118" s="31">
        <v>2</v>
      </c>
      <c r="G118" s="31" t="s">
        <v>1365</v>
      </c>
      <c r="H118" s="31"/>
      <c r="I118" s="268"/>
      <c r="J118" s="298"/>
      <c r="K118" s="268"/>
      <c r="L118" s="268"/>
      <c r="M118" s="268"/>
    </row>
    <row r="119" spans="1:13" ht="22.5" customHeight="1">
      <c r="A119" s="276">
        <v>61</v>
      </c>
      <c r="B119" s="282"/>
      <c r="C119" s="277" t="s">
        <v>1366</v>
      </c>
      <c r="D119" s="267" t="s">
        <v>1367</v>
      </c>
      <c r="E119" s="267" t="s">
        <v>1368</v>
      </c>
      <c r="F119" s="31">
        <v>1</v>
      </c>
      <c r="G119" s="31" t="s">
        <v>1362</v>
      </c>
      <c r="H119" s="31" t="s">
        <v>1363</v>
      </c>
      <c r="I119" s="267" t="s">
        <v>1369</v>
      </c>
      <c r="J119" s="297"/>
      <c r="K119" s="267"/>
      <c r="L119" s="267"/>
      <c r="M119" s="267"/>
    </row>
    <row r="120" spans="1:13" ht="22.5" customHeight="1">
      <c r="A120" s="275"/>
      <c r="B120" s="282"/>
      <c r="C120" s="278"/>
      <c r="D120" s="268"/>
      <c r="E120" s="268"/>
      <c r="F120" s="31">
        <v>2</v>
      </c>
      <c r="G120" s="31" t="s">
        <v>1370</v>
      </c>
      <c r="H120" s="31"/>
      <c r="I120" s="268"/>
      <c r="J120" s="298"/>
      <c r="K120" s="268"/>
      <c r="L120" s="268"/>
      <c r="M120" s="268"/>
    </row>
    <row r="121" spans="1:13" ht="22.5" customHeight="1">
      <c r="A121" s="276">
        <v>62</v>
      </c>
      <c r="B121" s="282"/>
      <c r="C121" s="277" t="s">
        <v>1371</v>
      </c>
      <c r="D121" s="267" t="s">
        <v>1372</v>
      </c>
      <c r="E121" s="267" t="s">
        <v>1373</v>
      </c>
      <c r="F121" s="31">
        <v>1</v>
      </c>
      <c r="G121" s="31" t="s">
        <v>1374</v>
      </c>
      <c r="H121" s="31" t="s">
        <v>1356</v>
      </c>
      <c r="I121" s="267" t="s">
        <v>1375</v>
      </c>
      <c r="J121" s="297"/>
      <c r="K121" s="267"/>
      <c r="L121" s="267"/>
      <c r="M121" s="267"/>
    </row>
    <row r="122" spans="1:13" ht="22.5" customHeight="1">
      <c r="A122" s="275"/>
      <c r="B122" s="282"/>
      <c r="C122" s="278"/>
      <c r="D122" s="268"/>
      <c r="E122" s="268"/>
      <c r="F122" s="31">
        <v>2</v>
      </c>
      <c r="G122" s="31" t="s">
        <v>1376</v>
      </c>
      <c r="H122" s="31"/>
      <c r="I122" s="268"/>
      <c r="J122" s="298"/>
      <c r="K122" s="268"/>
      <c r="L122" s="268"/>
      <c r="M122" s="268"/>
    </row>
    <row r="123" spans="1:13" ht="22.5" customHeight="1">
      <c r="A123" s="276">
        <v>63</v>
      </c>
      <c r="B123" s="282"/>
      <c r="C123" s="277" t="s">
        <v>1377</v>
      </c>
      <c r="D123" s="267" t="s">
        <v>1378</v>
      </c>
      <c r="E123" s="267" t="s">
        <v>1373</v>
      </c>
      <c r="F123" s="31">
        <v>1</v>
      </c>
      <c r="G123" s="31" t="s">
        <v>1379</v>
      </c>
      <c r="H123" s="31" t="s">
        <v>561</v>
      </c>
      <c r="I123" s="267" t="s">
        <v>1380</v>
      </c>
      <c r="J123" s="297"/>
      <c r="K123" s="267"/>
      <c r="L123" s="267"/>
      <c r="M123" s="267"/>
    </row>
    <row r="124" spans="1:13" ht="22.5" customHeight="1">
      <c r="A124" s="275"/>
      <c r="B124" s="282"/>
      <c r="C124" s="278"/>
      <c r="D124" s="268"/>
      <c r="E124" s="268"/>
      <c r="F124" s="31">
        <v>2</v>
      </c>
      <c r="G124" s="31" t="s">
        <v>1381</v>
      </c>
      <c r="H124" s="31"/>
      <c r="I124" s="268"/>
      <c r="J124" s="298"/>
      <c r="K124" s="268"/>
      <c r="L124" s="268"/>
      <c r="M124" s="268"/>
    </row>
    <row r="125" spans="1:13" ht="22.5" customHeight="1">
      <c r="A125" s="276">
        <v>64</v>
      </c>
      <c r="B125" s="282"/>
      <c r="C125" s="277" t="s">
        <v>1382</v>
      </c>
      <c r="D125" s="267" t="s">
        <v>1383</v>
      </c>
      <c r="E125" s="267" t="s">
        <v>1373</v>
      </c>
      <c r="F125" s="31">
        <v>1</v>
      </c>
      <c r="G125" s="31" t="s">
        <v>1384</v>
      </c>
      <c r="H125" s="31" t="s">
        <v>1385</v>
      </c>
      <c r="I125" s="267" t="s">
        <v>1386</v>
      </c>
      <c r="J125" s="297"/>
      <c r="K125" s="267"/>
      <c r="L125" s="267"/>
      <c r="M125" s="267"/>
    </row>
    <row r="126" spans="1:13" ht="22.5" customHeight="1">
      <c r="A126" s="275"/>
      <c r="B126" s="282"/>
      <c r="C126" s="278"/>
      <c r="D126" s="268"/>
      <c r="E126" s="268"/>
      <c r="F126" s="31">
        <v>2</v>
      </c>
      <c r="G126" s="31" t="s">
        <v>1381</v>
      </c>
      <c r="H126" s="31"/>
      <c r="I126" s="268"/>
      <c r="J126" s="298"/>
      <c r="K126" s="268"/>
      <c r="L126" s="268"/>
      <c r="M126" s="268"/>
    </row>
    <row r="127" spans="1:13" ht="22.5" customHeight="1">
      <c r="A127" s="276">
        <v>65</v>
      </c>
      <c r="B127" s="282"/>
      <c r="C127" s="277" t="s">
        <v>1387</v>
      </c>
      <c r="D127" s="267" t="s">
        <v>1388</v>
      </c>
      <c r="E127" s="267" t="s">
        <v>1389</v>
      </c>
      <c r="F127" s="31">
        <v>1</v>
      </c>
      <c r="G127" s="31" t="s">
        <v>1390</v>
      </c>
      <c r="H127" s="31" t="s">
        <v>1349</v>
      </c>
      <c r="I127" s="267" t="s">
        <v>1391</v>
      </c>
      <c r="J127" s="297"/>
      <c r="K127" s="267"/>
      <c r="L127" s="267"/>
      <c r="M127" s="267"/>
    </row>
    <row r="128" spans="1:13" ht="22.5" customHeight="1">
      <c r="A128" s="275"/>
      <c r="B128" s="282"/>
      <c r="C128" s="278"/>
      <c r="D128" s="268"/>
      <c r="E128" s="268"/>
      <c r="F128" s="31">
        <v>2</v>
      </c>
      <c r="G128" s="31" t="s">
        <v>1392</v>
      </c>
      <c r="H128" s="31"/>
      <c r="I128" s="268"/>
      <c r="J128" s="298"/>
      <c r="K128" s="268"/>
      <c r="L128" s="268"/>
      <c r="M128" s="268"/>
    </row>
    <row r="129" spans="1:13" ht="22.5" customHeight="1">
      <c r="A129" s="276">
        <v>66</v>
      </c>
      <c r="B129" s="282"/>
      <c r="C129" s="277" t="s">
        <v>1393</v>
      </c>
      <c r="D129" s="267" t="s">
        <v>1394</v>
      </c>
      <c r="E129" s="267" t="s">
        <v>1373</v>
      </c>
      <c r="F129" s="31">
        <v>1</v>
      </c>
      <c r="G129" s="31" t="s">
        <v>1395</v>
      </c>
      <c r="H129" s="31" t="s">
        <v>1396</v>
      </c>
      <c r="I129" s="267" t="s">
        <v>1397</v>
      </c>
      <c r="J129" s="297"/>
      <c r="K129" s="267"/>
      <c r="L129" s="267"/>
      <c r="M129" s="267"/>
    </row>
    <row r="130" spans="1:13" ht="22.5" customHeight="1">
      <c r="A130" s="294"/>
      <c r="B130" s="295"/>
      <c r="C130" s="296"/>
      <c r="D130" s="269"/>
      <c r="E130" s="269"/>
      <c r="F130" s="43">
        <v>2</v>
      </c>
      <c r="G130" s="43" t="s">
        <v>1398</v>
      </c>
      <c r="H130" s="43"/>
      <c r="I130" s="269"/>
      <c r="J130" s="300"/>
      <c r="K130" s="269"/>
      <c r="L130" s="269"/>
      <c r="M130" s="269"/>
    </row>
  </sheetData>
  <mergeCells count="584">
    <mergeCell ref="M65:M66"/>
    <mergeCell ref="L65:L66"/>
    <mergeCell ref="K65:K66"/>
    <mergeCell ref="M51:M52"/>
    <mergeCell ref="K53:K54"/>
    <mergeCell ref="L53:L54"/>
    <mergeCell ref="M53:M54"/>
    <mergeCell ref="K55:K56"/>
    <mergeCell ref="L55:L56"/>
    <mergeCell ref="M55:M56"/>
    <mergeCell ref="J53:J54"/>
    <mergeCell ref="J55:J56"/>
    <mergeCell ref="J57:J58"/>
    <mergeCell ref="K51:K52"/>
    <mergeCell ref="L51:L52"/>
    <mergeCell ref="J103:J104"/>
    <mergeCell ref="J105:J106"/>
    <mergeCell ref="J71:J72"/>
    <mergeCell ref="J73:J74"/>
    <mergeCell ref="J75:J76"/>
    <mergeCell ref="J77:J78"/>
    <mergeCell ref="J79:J80"/>
    <mergeCell ref="J81:J82"/>
    <mergeCell ref="J83:J84"/>
    <mergeCell ref="J85:J86"/>
    <mergeCell ref="J87:J88"/>
    <mergeCell ref="J99:J100"/>
    <mergeCell ref="J101:J102"/>
    <mergeCell ref="J95:J96"/>
    <mergeCell ref="J97:J98"/>
    <mergeCell ref="J89:J90"/>
    <mergeCell ref="J127:J128"/>
    <mergeCell ref="J129:J130"/>
    <mergeCell ref="J107:J108"/>
    <mergeCell ref="J109:J110"/>
    <mergeCell ref="J111:J112"/>
    <mergeCell ref="J113:J114"/>
    <mergeCell ref="J115:J116"/>
    <mergeCell ref="J117:J118"/>
    <mergeCell ref="J119:J120"/>
    <mergeCell ref="J121:J122"/>
    <mergeCell ref="J123:J124"/>
    <mergeCell ref="J125:J126"/>
    <mergeCell ref="J31:J32"/>
    <mergeCell ref="J33:J34"/>
    <mergeCell ref="J35:J36"/>
    <mergeCell ref="J37:J38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:J4"/>
    <mergeCell ref="J5:J6"/>
    <mergeCell ref="J7:J8"/>
    <mergeCell ref="J9:J10"/>
    <mergeCell ref="J11:J12"/>
    <mergeCell ref="J91:J92"/>
    <mergeCell ref="J93:J94"/>
    <mergeCell ref="I59:I60"/>
    <mergeCell ref="I61:I62"/>
    <mergeCell ref="J67:J68"/>
    <mergeCell ref="I89:I90"/>
    <mergeCell ref="J69:J70"/>
    <mergeCell ref="J61:J62"/>
    <mergeCell ref="J63:J64"/>
    <mergeCell ref="J65:J66"/>
    <mergeCell ref="E87:E88"/>
    <mergeCell ref="E77:E78"/>
    <mergeCell ref="E85:E86"/>
    <mergeCell ref="J39:J40"/>
    <mergeCell ref="J41:J42"/>
    <mergeCell ref="J43:J44"/>
    <mergeCell ref="J45:J46"/>
    <mergeCell ref="J59:J60"/>
    <mergeCell ref="J47:J48"/>
    <mergeCell ref="I47:I48"/>
    <mergeCell ref="I49:I50"/>
    <mergeCell ref="I51:I52"/>
    <mergeCell ref="I55:I56"/>
    <mergeCell ref="I53:I54"/>
    <mergeCell ref="J49:J50"/>
    <mergeCell ref="J51:J52"/>
    <mergeCell ref="E81:E82"/>
    <mergeCell ref="E83:E84"/>
    <mergeCell ref="E79:E80"/>
    <mergeCell ref="E49:E50"/>
    <mergeCell ref="E51:E52"/>
    <mergeCell ref="E69:E70"/>
    <mergeCell ref="D89:D90"/>
    <mergeCell ref="E89:E90"/>
    <mergeCell ref="C127:C128"/>
    <mergeCell ref="D127:D128"/>
    <mergeCell ref="E127:E128"/>
    <mergeCell ref="D111:D112"/>
    <mergeCell ref="E111:E112"/>
    <mergeCell ref="E101:E102"/>
    <mergeCell ref="C103:C104"/>
    <mergeCell ref="D103:D104"/>
    <mergeCell ref="E103:E104"/>
    <mergeCell ref="C117:C118"/>
    <mergeCell ref="D117:D118"/>
    <mergeCell ref="E117:E118"/>
    <mergeCell ref="C113:C114"/>
    <mergeCell ref="D93:D94"/>
    <mergeCell ref="I97:I98"/>
    <mergeCell ref="I101:I102"/>
    <mergeCell ref="I103:I104"/>
    <mergeCell ref="I41:I42"/>
    <mergeCell ref="I45:I46"/>
    <mergeCell ref="I43:I44"/>
    <mergeCell ref="I91:I92"/>
    <mergeCell ref="I75:I76"/>
    <mergeCell ref="I79:I80"/>
    <mergeCell ref="I93:I94"/>
    <mergeCell ref="I71:I72"/>
    <mergeCell ref="I63:I64"/>
    <mergeCell ref="I65:I66"/>
    <mergeCell ref="I67:I68"/>
    <mergeCell ref="I19:I20"/>
    <mergeCell ref="I21:I22"/>
    <mergeCell ref="I25:I26"/>
    <mergeCell ref="I27:I28"/>
    <mergeCell ref="C75:C76"/>
    <mergeCell ref="D65:D66"/>
    <mergeCell ref="E65:E66"/>
    <mergeCell ref="D67:D68"/>
    <mergeCell ref="E71:E72"/>
    <mergeCell ref="E73:E74"/>
    <mergeCell ref="E75:E76"/>
    <mergeCell ref="I29:I30"/>
    <mergeCell ref="I31:I32"/>
    <mergeCell ref="E41:E42"/>
    <mergeCell ref="D41:D42"/>
    <mergeCell ref="I81:I82"/>
    <mergeCell ref="I83:I84"/>
    <mergeCell ref="I35:I36"/>
    <mergeCell ref="I37:I38"/>
    <mergeCell ref="I39:I40"/>
    <mergeCell ref="I73:I74"/>
    <mergeCell ref="I69:I70"/>
    <mergeCell ref="I111:I112"/>
    <mergeCell ref="I127:I128"/>
    <mergeCell ref="I107:I108"/>
    <mergeCell ref="I33:I34"/>
    <mergeCell ref="I85:I86"/>
    <mergeCell ref="I87:I88"/>
    <mergeCell ref="I105:I106"/>
    <mergeCell ref="I121:I122"/>
    <mergeCell ref="I123:I124"/>
    <mergeCell ref="I125:I126"/>
    <mergeCell ref="I95:I96"/>
    <mergeCell ref="I99:I100"/>
    <mergeCell ref="I119:I120"/>
    <mergeCell ref="I109:I110"/>
    <mergeCell ref="I57:I58"/>
    <mergeCell ref="I77:I78"/>
    <mergeCell ref="I117:I118"/>
    <mergeCell ref="E129:E130"/>
    <mergeCell ref="C119:C120"/>
    <mergeCell ref="D119:D120"/>
    <mergeCell ref="E119:E120"/>
    <mergeCell ref="C121:C122"/>
    <mergeCell ref="D121:D122"/>
    <mergeCell ref="E121:E122"/>
    <mergeCell ref="C123:C124"/>
    <mergeCell ref="D123:D124"/>
    <mergeCell ref="E123:E124"/>
    <mergeCell ref="C125:C126"/>
    <mergeCell ref="D125:D126"/>
    <mergeCell ref="E125:E126"/>
    <mergeCell ref="I129:I130"/>
    <mergeCell ref="E113:E114"/>
    <mergeCell ref="C115:C116"/>
    <mergeCell ref="D115:D116"/>
    <mergeCell ref="E115:E116"/>
    <mergeCell ref="I115:I116"/>
    <mergeCell ref="I113:I114"/>
    <mergeCell ref="E109:E110"/>
    <mergeCell ref="E105:E106"/>
    <mergeCell ref="E107:E108"/>
    <mergeCell ref="E95:E96"/>
    <mergeCell ref="C99:C100"/>
    <mergeCell ref="D99:D100"/>
    <mergeCell ref="E99:E100"/>
    <mergeCell ref="C105:C106"/>
    <mergeCell ref="D107:D108"/>
    <mergeCell ref="C109:C110"/>
    <mergeCell ref="D97:D98"/>
    <mergeCell ref="D91:D92"/>
    <mergeCell ref="C97:C98"/>
    <mergeCell ref="E97:E98"/>
    <mergeCell ref="C95:C96"/>
    <mergeCell ref="C93:C94"/>
    <mergeCell ref="E91:E92"/>
    <mergeCell ref="D95:D96"/>
    <mergeCell ref="E93:E94"/>
    <mergeCell ref="D129:D130"/>
    <mergeCell ref="B99:B112"/>
    <mergeCell ref="B113:B130"/>
    <mergeCell ref="C111:C112"/>
    <mergeCell ref="D109:D110"/>
    <mergeCell ref="D105:D106"/>
    <mergeCell ref="C107:C108"/>
    <mergeCell ref="C101:C102"/>
    <mergeCell ref="D101:D102"/>
    <mergeCell ref="C129:C130"/>
    <mergeCell ref="D113:D114"/>
    <mergeCell ref="A127:A128"/>
    <mergeCell ref="A129:A130"/>
    <mergeCell ref="A113:A114"/>
    <mergeCell ref="A115:A116"/>
    <mergeCell ref="A117:A118"/>
    <mergeCell ref="A119:A120"/>
    <mergeCell ref="A121:A122"/>
    <mergeCell ref="A123:A124"/>
    <mergeCell ref="A125:A126"/>
    <mergeCell ref="A93:A94"/>
    <mergeCell ref="A101:A102"/>
    <mergeCell ref="A79:A80"/>
    <mergeCell ref="A81:A82"/>
    <mergeCell ref="A91:A92"/>
    <mergeCell ref="A99:A100"/>
    <mergeCell ref="A97:A98"/>
    <mergeCell ref="A95:A96"/>
    <mergeCell ref="A83:A84"/>
    <mergeCell ref="A85:A86"/>
    <mergeCell ref="A87:A88"/>
    <mergeCell ref="A89:A90"/>
    <mergeCell ref="A103:A104"/>
    <mergeCell ref="A105:A106"/>
    <mergeCell ref="A107:A108"/>
    <mergeCell ref="A109:A110"/>
    <mergeCell ref="A111:A112"/>
    <mergeCell ref="A69:A70"/>
    <mergeCell ref="A77:A78"/>
    <mergeCell ref="A71:A72"/>
    <mergeCell ref="A65:A66"/>
    <mergeCell ref="A67:A68"/>
    <mergeCell ref="A73:A74"/>
    <mergeCell ref="A75:A76"/>
    <mergeCell ref="C65:C66"/>
    <mergeCell ref="C87:C88"/>
    <mergeCell ref="D87:D88"/>
    <mergeCell ref="D83:D84"/>
    <mergeCell ref="D79:D80"/>
    <mergeCell ref="D81:D82"/>
    <mergeCell ref="C81:C82"/>
    <mergeCell ref="C77:C78"/>
    <mergeCell ref="D85:D86"/>
    <mergeCell ref="D77:D78"/>
    <mergeCell ref="B69:B98"/>
    <mergeCell ref="C71:C72"/>
    <mergeCell ref="C85:C86"/>
    <mergeCell ref="C79:C80"/>
    <mergeCell ref="C91:C92"/>
    <mergeCell ref="C83:C84"/>
    <mergeCell ref="C73:C74"/>
    <mergeCell ref="C89:C90"/>
    <mergeCell ref="C63:C64"/>
    <mergeCell ref="C47:C48"/>
    <mergeCell ref="D47:D48"/>
    <mergeCell ref="C33:C34"/>
    <mergeCell ref="D33:D34"/>
    <mergeCell ref="C39:C40"/>
    <mergeCell ref="C35:C36"/>
    <mergeCell ref="D43:D44"/>
    <mergeCell ref="C45:C46"/>
    <mergeCell ref="D45:D46"/>
    <mergeCell ref="D63:D64"/>
    <mergeCell ref="C51:C52"/>
    <mergeCell ref="D51:D52"/>
    <mergeCell ref="C49:C50"/>
    <mergeCell ref="D49:D50"/>
    <mergeCell ref="C43:C44"/>
    <mergeCell ref="D73:D74"/>
    <mergeCell ref="D75:D76"/>
    <mergeCell ref="C69:C70"/>
    <mergeCell ref="D69:D70"/>
    <mergeCell ref="C67:C68"/>
    <mergeCell ref="D71:D72"/>
    <mergeCell ref="D59:D60"/>
    <mergeCell ref="D61:D62"/>
    <mergeCell ref="C55:C56"/>
    <mergeCell ref="C57:C58"/>
    <mergeCell ref="C61:C62"/>
    <mergeCell ref="C59:C60"/>
    <mergeCell ref="E45:E46"/>
    <mergeCell ref="E67:E68"/>
    <mergeCell ref="D55:D56"/>
    <mergeCell ref="E29:E30"/>
    <mergeCell ref="D39:D40"/>
    <mergeCell ref="E39:E40"/>
    <mergeCell ref="D35:D36"/>
    <mergeCell ref="E35:E36"/>
    <mergeCell ref="E47:E48"/>
    <mergeCell ref="E57:E58"/>
    <mergeCell ref="E59:E60"/>
    <mergeCell ref="E61:E62"/>
    <mergeCell ref="E63:E64"/>
    <mergeCell ref="E53:E54"/>
    <mergeCell ref="E55:E56"/>
    <mergeCell ref="D57:D58"/>
    <mergeCell ref="E3:E4"/>
    <mergeCell ref="D3:D4"/>
    <mergeCell ref="C3:C4"/>
    <mergeCell ref="E5:E6"/>
    <mergeCell ref="E43:E44"/>
    <mergeCell ref="D19:D20"/>
    <mergeCell ref="C29:C30"/>
    <mergeCell ref="C21:C22"/>
    <mergeCell ref="D29:D30"/>
    <mergeCell ref="M1:M2"/>
    <mergeCell ref="A2:J2"/>
    <mergeCell ref="A27:A28"/>
    <mergeCell ref="C27:C28"/>
    <mergeCell ref="D27:D28"/>
    <mergeCell ref="E27:E28"/>
    <mergeCell ref="K3:K4"/>
    <mergeCell ref="D25:D26"/>
    <mergeCell ref="C23:C24"/>
    <mergeCell ref="D23:D24"/>
    <mergeCell ref="C25:C26"/>
    <mergeCell ref="D21:D22"/>
    <mergeCell ref="E21:E22"/>
    <mergeCell ref="K1:K2"/>
    <mergeCell ref="D7:D8"/>
    <mergeCell ref="C7:C8"/>
    <mergeCell ref="A29:A30"/>
    <mergeCell ref="A31:A32"/>
    <mergeCell ref="C31:C32"/>
    <mergeCell ref="D31:D32"/>
    <mergeCell ref="E31:E32"/>
    <mergeCell ref="B3:B68"/>
    <mergeCell ref="C41:C42"/>
    <mergeCell ref="C53:C54"/>
    <mergeCell ref="D53:D54"/>
    <mergeCell ref="A5:A6"/>
    <mergeCell ref="A7:A8"/>
    <mergeCell ref="A9:A10"/>
    <mergeCell ref="A19:A20"/>
    <mergeCell ref="A11:A12"/>
    <mergeCell ref="A13:A14"/>
    <mergeCell ref="A55:A56"/>
    <mergeCell ref="C37:C38"/>
    <mergeCell ref="D37:D38"/>
    <mergeCell ref="E37:E38"/>
    <mergeCell ref="M3:M4"/>
    <mergeCell ref="K5:K6"/>
    <mergeCell ref="L5:L6"/>
    <mergeCell ref="C11:C12"/>
    <mergeCell ref="D11:D12"/>
    <mergeCell ref="E11:E12"/>
    <mergeCell ref="C13:C14"/>
    <mergeCell ref="D13:D14"/>
    <mergeCell ref="E13:E14"/>
    <mergeCell ref="E15:E16"/>
    <mergeCell ref="I3:I4"/>
    <mergeCell ref="E33:E34"/>
    <mergeCell ref="E19:E20"/>
    <mergeCell ref="A57:A58"/>
    <mergeCell ref="A63:A64"/>
    <mergeCell ref="A33:A34"/>
    <mergeCell ref="A41:A42"/>
    <mergeCell ref="A47:A48"/>
    <mergeCell ref="A43:A44"/>
    <mergeCell ref="A51:A52"/>
    <mergeCell ref="A53:A54"/>
    <mergeCell ref="A45:A46"/>
    <mergeCell ref="A49:A50"/>
    <mergeCell ref="A35:A36"/>
    <mergeCell ref="A37:A38"/>
    <mergeCell ref="A39:A40"/>
    <mergeCell ref="A59:A60"/>
    <mergeCell ref="A61:A62"/>
    <mergeCell ref="L1:L2"/>
    <mergeCell ref="K11:K12"/>
    <mergeCell ref="L11:L12"/>
    <mergeCell ref="K19:K20"/>
    <mergeCell ref="L19:L20"/>
    <mergeCell ref="K17:K18"/>
    <mergeCell ref="L17:L18"/>
    <mergeCell ref="L3:L4"/>
    <mergeCell ref="C9:C10"/>
    <mergeCell ref="E7:E8"/>
    <mergeCell ref="D5:D6"/>
    <mergeCell ref="C5:C6"/>
    <mergeCell ref="K25:K26"/>
    <mergeCell ref="I5:I6"/>
    <mergeCell ref="I7:I8"/>
    <mergeCell ref="I9:I10"/>
    <mergeCell ref="I11:I12"/>
    <mergeCell ref="D9:D10"/>
    <mergeCell ref="C15:C16"/>
    <mergeCell ref="D15:D16"/>
    <mergeCell ref="I23:I24"/>
    <mergeCell ref="I13:I14"/>
    <mergeCell ref="I15:I16"/>
    <mergeCell ref="I17:I18"/>
    <mergeCell ref="L25:L26"/>
    <mergeCell ref="M25:M26"/>
    <mergeCell ref="A3:A4"/>
    <mergeCell ref="E9:E10"/>
    <mergeCell ref="A25:A26"/>
    <mergeCell ref="A15:A16"/>
    <mergeCell ref="A17:A18"/>
    <mergeCell ref="A23:A24"/>
    <mergeCell ref="E23:E24"/>
    <mergeCell ref="E25:E26"/>
    <mergeCell ref="A21:A22"/>
    <mergeCell ref="C17:C18"/>
    <mergeCell ref="D17:D18"/>
    <mergeCell ref="E17:E18"/>
    <mergeCell ref="C19:C20"/>
    <mergeCell ref="K21:K22"/>
    <mergeCell ref="L21:L22"/>
    <mergeCell ref="M21:M22"/>
    <mergeCell ref="K23:K24"/>
    <mergeCell ref="L23:L24"/>
    <mergeCell ref="M23:M24"/>
    <mergeCell ref="M17:M18"/>
    <mergeCell ref="M19:M20"/>
    <mergeCell ref="M11:M12"/>
    <mergeCell ref="K13:K14"/>
    <mergeCell ref="L13:L14"/>
    <mergeCell ref="M13:M14"/>
    <mergeCell ref="K15:K16"/>
    <mergeCell ref="L15:L16"/>
    <mergeCell ref="M15:M16"/>
    <mergeCell ref="M5:M6"/>
    <mergeCell ref="K7:K8"/>
    <mergeCell ref="L7:L8"/>
    <mergeCell ref="M7:M8"/>
    <mergeCell ref="K9:K10"/>
    <mergeCell ref="L9:L10"/>
    <mergeCell ref="M9:M10"/>
    <mergeCell ref="M33:M34"/>
    <mergeCell ref="M35:M36"/>
    <mergeCell ref="K37:K38"/>
    <mergeCell ref="L37:L38"/>
    <mergeCell ref="M37:M38"/>
    <mergeCell ref="K35:K36"/>
    <mergeCell ref="L35:L36"/>
    <mergeCell ref="K33:K34"/>
    <mergeCell ref="L33:L34"/>
    <mergeCell ref="M27:M28"/>
    <mergeCell ref="K29:K30"/>
    <mergeCell ref="L29:L30"/>
    <mergeCell ref="M29:M30"/>
    <mergeCell ref="K31:K32"/>
    <mergeCell ref="L31:L32"/>
    <mergeCell ref="M31:M32"/>
    <mergeCell ref="K27:K28"/>
    <mergeCell ref="L27:L28"/>
    <mergeCell ref="L47:L48"/>
    <mergeCell ref="M47:M48"/>
    <mergeCell ref="K49:K50"/>
    <mergeCell ref="L49:L50"/>
    <mergeCell ref="M49:M50"/>
    <mergeCell ref="M67:M68"/>
    <mergeCell ref="K67:K68"/>
    <mergeCell ref="L67:L68"/>
    <mergeCell ref="M39:M40"/>
    <mergeCell ref="M43:M44"/>
    <mergeCell ref="K45:K46"/>
    <mergeCell ref="L45:L46"/>
    <mergeCell ref="M45:M46"/>
    <mergeCell ref="K43:K44"/>
    <mergeCell ref="L43:L44"/>
    <mergeCell ref="K39:K40"/>
    <mergeCell ref="L39:L40"/>
    <mergeCell ref="M41:M42"/>
    <mergeCell ref="L41:L42"/>
    <mergeCell ref="K41:K42"/>
    <mergeCell ref="K47:K48"/>
    <mergeCell ref="K75:K76"/>
    <mergeCell ref="L75:L76"/>
    <mergeCell ref="M75:M76"/>
    <mergeCell ref="M57:M58"/>
    <mergeCell ref="M59:M60"/>
    <mergeCell ref="K61:K62"/>
    <mergeCell ref="L61:L62"/>
    <mergeCell ref="M61:M62"/>
    <mergeCell ref="K59:K60"/>
    <mergeCell ref="L59:L60"/>
    <mergeCell ref="K57:K58"/>
    <mergeCell ref="L57:L58"/>
    <mergeCell ref="M63:M64"/>
    <mergeCell ref="L63:L64"/>
    <mergeCell ref="K63:K64"/>
    <mergeCell ref="K69:K70"/>
    <mergeCell ref="L69:L70"/>
    <mergeCell ref="M69:M70"/>
    <mergeCell ref="K71:K72"/>
    <mergeCell ref="L71:L72"/>
    <mergeCell ref="M71:M72"/>
    <mergeCell ref="K83:K84"/>
    <mergeCell ref="K87:K88"/>
    <mergeCell ref="L87:L88"/>
    <mergeCell ref="M87:M88"/>
    <mergeCell ref="K89:K90"/>
    <mergeCell ref="L89:L90"/>
    <mergeCell ref="M89:M90"/>
    <mergeCell ref="L83:L84"/>
    <mergeCell ref="M83:M84"/>
    <mergeCell ref="K101:K102"/>
    <mergeCell ref="K73:K74"/>
    <mergeCell ref="L73:L74"/>
    <mergeCell ref="M73:M74"/>
    <mergeCell ref="K91:K92"/>
    <mergeCell ref="L91:L92"/>
    <mergeCell ref="M91:M92"/>
    <mergeCell ref="K77:K78"/>
    <mergeCell ref="L77:L78"/>
    <mergeCell ref="M77:M78"/>
    <mergeCell ref="K79:K80"/>
    <mergeCell ref="L79:L80"/>
    <mergeCell ref="M79:M80"/>
    <mergeCell ref="K81:K82"/>
    <mergeCell ref="L81:L82"/>
    <mergeCell ref="M81:M82"/>
    <mergeCell ref="K97:K98"/>
    <mergeCell ref="L97:L98"/>
    <mergeCell ref="M97:M98"/>
    <mergeCell ref="K99:K100"/>
    <mergeCell ref="L99:L100"/>
    <mergeCell ref="M99:M100"/>
    <mergeCell ref="L93:L94"/>
    <mergeCell ref="M93:M94"/>
    <mergeCell ref="K95:K96"/>
    <mergeCell ref="L95:L96"/>
    <mergeCell ref="M95:M96"/>
    <mergeCell ref="L121:L122"/>
    <mergeCell ref="M121:M122"/>
    <mergeCell ref="L115:L116"/>
    <mergeCell ref="M115:M116"/>
    <mergeCell ref="K85:K86"/>
    <mergeCell ref="L85:L86"/>
    <mergeCell ref="M85:M86"/>
    <mergeCell ref="L101:L102"/>
    <mergeCell ref="M101:M102"/>
    <mergeCell ref="K103:K104"/>
    <mergeCell ref="L103:L104"/>
    <mergeCell ref="M103:M104"/>
    <mergeCell ref="K107:K108"/>
    <mergeCell ref="L107:L108"/>
    <mergeCell ref="M107:M108"/>
    <mergeCell ref="K93:K94"/>
    <mergeCell ref="K105:K106"/>
    <mergeCell ref="L105:L106"/>
    <mergeCell ref="M105:M106"/>
    <mergeCell ref="K123:K124"/>
    <mergeCell ref="L123:L124"/>
    <mergeCell ref="M123:M124"/>
    <mergeCell ref="K109:K110"/>
    <mergeCell ref="L109:L110"/>
    <mergeCell ref="M109:M110"/>
    <mergeCell ref="K111:K112"/>
    <mergeCell ref="L111:L112"/>
    <mergeCell ref="M111:M112"/>
    <mergeCell ref="K113:K114"/>
    <mergeCell ref="L113:L114"/>
    <mergeCell ref="M113:M114"/>
    <mergeCell ref="K115:K116"/>
    <mergeCell ref="K117:K118"/>
    <mergeCell ref="L117:L118"/>
    <mergeCell ref="M117:M118"/>
    <mergeCell ref="K129:K130"/>
    <mergeCell ref="L129:L130"/>
    <mergeCell ref="M129:M130"/>
    <mergeCell ref="K125:K126"/>
    <mergeCell ref="L125:L126"/>
    <mergeCell ref="M125:M126"/>
    <mergeCell ref="K127:K128"/>
    <mergeCell ref="L127:L128"/>
    <mergeCell ref="M127:M128"/>
    <mergeCell ref="K119:K120"/>
    <mergeCell ref="L119:L120"/>
    <mergeCell ref="M119:M120"/>
    <mergeCell ref="K121:K122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6A5F-EC92-45D5-9C69-82423BBA35E1}">
  <dimension ref="A1:M89"/>
  <sheetViews>
    <sheetView topLeftCell="E1" workbookViewId="0">
      <selection activeCell="I17" sqref="I17:I20"/>
    </sheetView>
  </sheetViews>
  <sheetFormatPr defaultRowHeight="15"/>
  <cols>
    <col min="1" max="1" width="4" bestFit="1" customWidth="1"/>
    <col min="2" max="2" width="28.28515625" customWidth="1"/>
    <col min="4" max="4" width="35.42578125" bestFit="1" customWidth="1"/>
    <col min="5" max="5" width="30.28515625" bestFit="1" customWidth="1"/>
    <col min="6" max="6" width="6.5703125" bestFit="1" customWidth="1"/>
    <col min="7" max="7" width="55" bestFit="1" customWidth="1"/>
    <col min="8" max="8" width="19.42578125" customWidth="1"/>
    <col min="9" max="9" width="62.7109375" customWidth="1"/>
    <col min="10" max="10" width="37" customWidth="1"/>
    <col min="11" max="11" width="6.28515625" bestFit="1" customWidth="1"/>
    <col min="12" max="12" width="8.5703125" bestFit="1" customWidth="1"/>
    <col min="13" max="13" width="11.5703125" customWidth="1"/>
  </cols>
  <sheetData>
    <row r="1" spans="1:13" ht="28.5">
      <c r="A1" s="17" t="s">
        <v>222</v>
      </c>
      <c r="B1" s="18" t="s">
        <v>62</v>
      </c>
      <c r="C1" s="19" t="s">
        <v>480</v>
      </c>
      <c r="D1" s="19" t="s">
        <v>481</v>
      </c>
      <c r="E1" s="19" t="s">
        <v>639</v>
      </c>
      <c r="F1" s="20" t="s">
        <v>483</v>
      </c>
      <c r="G1" s="19" t="s">
        <v>484</v>
      </c>
      <c r="H1" s="19" t="s">
        <v>485</v>
      </c>
      <c r="I1" s="19" t="s">
        <v>486</v>
      </c>
      <c r="J1" s="21" t="s">
        <v>640</v>
      </c>
      <c r="K1" s="251" t="s">
        <v>488</v>
      </c>
      <c r="L1" s="240" t="s">
        <v>489</v>
      </c>
      <c r="M1" s="242" t="s">
        <v>69</v>
      </c>
    </row>
    <row r="2" spans="1:13" ht="20.25">
      <c r="A2" s="213" t="s">
        <v>45</v>
      </c>
      <c r="B2" s="214"/>
      <c r="C2" s="214"/>
      <c r="D2" s="214"/>
      <c r="E2" s="214"/>
      <c r="F2" s="214"/>
      <c r="G2" s="214"/>
      <c r="H2" s="214"/>
      <c r="I2" s="214"/>
      <c r="J2" s="246"/>
      <c r="K2" s="252"/>
      <c r="L2" s="241"/>
      <c r="M2" s="243"/>
    </row>
    <row r="3" spans="1:13" ht="24.75" customHeight="1">
      <c r="A3" s="204">
        <v>1</v>
      </c>
      <c r="B3" s="334" t="s">
        <v>1399</v>
      </c>
      <c r="C3" s="254" t="s">
        <v>1400</v>
      </c>
      <c r="D3" s="204" t="s">
        <v>1401</v>
      </c>
      <c r="E3" s="237" t="s">
        <v>1402</v>
      </c>
      <c r="F3" s="25">
        <v>1</v>
      </c>
      <c r="G3" s="22" t="s">
        <v>1403</v>
      </c>
      <c r="H3" s="25" t="s">
        <v>1404</v>
      </c>
      <c r="I3" s="343" t="s">
        <v>1405</v>
      </c>
      <c r="J3" s="237" t="s">
        <v>1406</v>
      </c>
      <c r="K3" s="342" t="s">
        <v>992</v>
      </c>
      <c r="L3" s="237" t="s">
        <v>648</v>
      </c>
      <c r="M3" s="333" t="str">
        <f>HYPERLINK("D:\RaoVat_AutomationTesting\Screenshots\Pass_KS01.png", "Xem ảnh lỗi")</f>
        <v>Xem ảnh lỗi</v>
      </c>
    </row>
    <row r="4" spans="1:13" ht="24.75" customHeight="1" thickBot="1">
      <c r="A4" s="234"/>
      <c r="B4" s="259"/>
      <c r="C4" s="264"/>
      <c r="D4" s="234"/>
      <c r="E4" s="204"/>
      <c r="F4" s="27">
        <v>2</v>
      </c>
      <c r="G4" s="9" t="s">
        <v>1407</v>
      </c>
      <c r="H4" s="27"/>
      <c r="I4" s="315"/>
      <c r="J4" s="204"/>
      <c r="K4" s="204"/>
      <c r="L4" s="204"/>
      <c r="M4" s="204"/>
    </row>
    <row r="5" spans="1:13" ht="24.75" customHeight="1">
      <c r="A5" s="234">
        <v>2</v>
      </c>
      <c r="B5" s="259"/>
      <c r="C5" s="264" t="s">
        <v>1408</v>
      </c>
      <c r="D5" s="234" t="s">
        <v>1409</v>
      </c>
      <c r="E5" s="202" t="s">
        <v>1410</v>
      </c>
      <c r="F5" s="27">
        <v>1</v>
      </c>
      <c r="G5" s="9" t="s">
        <v>1411</v>
      </c>
      <c r="H5" s="27" t="s">
        <v>1412</v>
      </c>
      <c r="I5" s="314" t="s">
        <v>1413</v>
      </c>
      <c r="J5" s="202" t="s">
        <v>1414</v>
      </c>
      <c r="K5" s="328" t="s">
        <v>992</v>
      </c>
      <c r="L5" s="237" t="s">
        <v>648</v>
      </c>
      <c r="M5" s="327" t="str">
        <f>HYPERLINK("D:\RaoVat_AutomationTesting\Screenshots\Pass_KS02.png", "Xem ảnh lỗi")</f>
        <v>Xem ảnh lỗi</v>
      </c>
    </row>
    <row r="6" spans="1:13" ht="24.75" customHeight="1" thickBot="1">
      <c r="A6" s="234"/>
      <c r="B6" s="259"/>
      <c r="C6" s="264"/>
      <c r="D6" s="234"/>
      <c r="E6" s="204"/>
      <c r="F6" s="27">
        <v>2</v>
      </c>
      <c r="G6" s="9" t="s">
        <v>1407</v>
      </c>
      <c r="H6" s="27"/>
      <c r="I6" s="315"/>
      <c r="J6" s="204"/>
      <c r="K6" s="204"/>
      <c r="L6" s="204"/>
      <c r="M6" s="204"/>
    </row>
    <row r="7" spans="1:13" ht="24.75" customHeight="1">
      <c r="A7" s="234">
        <v>3</v>
      </c>
      <c r="B7" s="259"/>
      <c r="C7" s="264" t="s">
        <v>1415</v>
      </c>
      <c r="D7" s="234" t="s">
        <v>1416</v>
      </c>
      <c r="E7" s="202" t="s">
        <v>1417</v>
      </c>
      <c r="F7" s="27">
        <v>1</v>
      </c>
      <c r="G7" s="9" t="s">
        <v>1411</v>
      </c>
      <c r="H7" s="27" t="s">
        <v>1418</v>
      </c>
      <c r="I7" s="314" t="s">
        <v>1419</v>
      </c>
      <c r="J7" s="202" t="s">
        <v>1420</v>
      </c>
      <c r="K7" s="328" t="s">
        <v>992</v>
      </c>
      <c r="L7" s="237" t="s">
        <v>648</v>
      </c>
      <c r="M7" s="327" t="str">
        <f>HYPERLINK("D:\RaoVat_AutomationTesting\Screenshots\Pass_KS03.png", "Xem ảnh lỗi")</f>
        <v>Xem ảnh lỗi</v>
      </c>
    </row>
    <row r="8" spans="1:13" ht="24.75" customHeight="1" thickBot="1">
      <c r="A8" s="234"/>
      <c r="B8" s="259"/>
      <c r="C8" s="264"/>
      <c r="D8" s="234"/>
      <c r="E8" s="204"/>
      <c r="F8" s="27">
        <v>2</v>
      </c>
      <c r="G8" s="9" t="s">
        <v>1407</v>
      </c>
      <c r="H8" s="27"/>
      <c r="I8" s="315"/>
      <c r="J8" s="204"/>
      <c r="K8" s="204"/>
      <c r="L8" s="204"/>
      <c r="M8" s="204"/>
    </row>
    <row r="9" spans="1:13" ht="24.75" customHeight="1">
      <c r="A9" s="234">
        <v>4</v>
      </c>
      <c r="B9" s="259"/>
      <c r="C9" s="264" t="s">
        <v>1421</v>
      </c>
      <c r="D9" s="234" t="s">
        <v>1422</v>
      </c>
      <c r="E9" s="235" t="s">
        <v>1423</v>
      </c>
      <c r="F9" s="27">
        <v>1</v>
      </c>
      <c r="G9" s="9" t="s">
        <v>1411</v>
      </c>
      <c r="H9" s="27" t="s">
        <v>1424</v>
      </c>
      <c r="I9" s="314" t="s">
        <v>1425</v>
      </c>
      <c r="J9" s="235" t="s">
        <v>1426</v>
      </c>
      <c r="K9" s="335" t="s">
        <v>992</v>
      </c>
      <c r="L9" s="237" t="s">
        <v>648</v>
      </c>
      <c r="M9" s="320" t="str">
        <f>HYPERLINK("D:\RaoVat_AutomationTesting\Screenshots\Pass_KS04.png", "Xem ảnh lỗi")</f>
        <v>Xem ảnh lỗi</v>
      </c>
    </row>
    <row r="10" spans="1:13" ht="24.75" customHeight="1" thickBot="1">
      <c r="A10" s="234"/>
      <c r="B10" s="259"/>
      <c r="C10" s="264"/>
      <c r="D10" s="234"/>
      <c r="E10" s="204"/>
      <c r="F10" s="27">
        <v>2</v>
      </c>
      <c r="G10" s="9" t="s">
        <v>1407</v>
      </c>
      <c r="H10" s="27"/>
      <c r="I10" s="315"/>
      <c r="J10" s="204"/>
      <c r="K10" s="204"/>
      <c r="L10" s="204"/>
      <c r="M10" s="204"/>
    </row>
    <row r="11" spans="1:13" ht="24.75" customHeight="1">
      <c r="A11" s="234">
        <v>5</v>
      </c>
      <c r="B11" s="259"/>
      <c r="C11" s="264" t="s">
        <v>1427</v>
      </c>
      <c r="D11" s="234" t="s">
        <v>1428</v>
      </c>
      <c r="E11" s="235" t="s">
        <v>1429</v>
      </c>
      <c r="F11" s="27">
        <v>1</v>
      </c>
      <c r="G11" s="9" t="s">
        <v>1411</v>
      </c>
      <c r="H11" s="27" t="s">
        <v>1404</v>
      </c>
      <c r="I11" s="314" t="s">
        <v>1430</v>
      </c>
      <c r="J11" s="235" t="s">
        <v>1406</v>
      </c>
      <c r="K11" s="335" t="s">
        <v>992</v>
      </c>
      <c r="L11" s="237" t="s">
        <v>648</v>
      </c>
      <c r="M11" s="320" t="str">
        <f>HYPERLINK("D:\RaoVat_AutomationTesting\Screenshots\Pass_KS05.png", "Xem ảnh lỗi")</f>
        <v>Xem ảnh lỗi</v>
      </c>
    </row>
    <row r="12" spans="1:13" ht="24.75" customHeight="1" thickBot="1">
      <c r="A12" s="234"/>
      <c r="B12" s="259"/>
      <c r="C12" s="264"/>
      <c r="D12" s="234"/>
      <c r="E12" s="204"/>
      <c r="F12" s="27">
        <v>2</v>
      </c>
      <c r="G12" s="9" t="s">
        <v>1407</v>
      </c>
      <c r="H12" s="27"/>
      <c r="I12" s="315"/>
      <c r="J12" s="204"/>
      <c r="K12" s="204"/>
      <c r="L12" s="204"/>
      <c r="M12" s="204"/>
    </row>
    <row r="13" spans="1:13" ht="24.75" customHeight="1">
      <c r="A13" s="234">
        <v>6</v>
      </c>
      <c r="B13" s="259"/>
      <c r="C13" s="264" t="s">
        <v>1431</v>
      </c>
      <c r="D13" s="234" t="s">
        <v>1432</v>
      </c>
      <c r="E13" s="235" t="s">
        <v>1433</v>
      </c>
      <c r="F13" s="27">
        <v>1</v>
      </c>
      <c r="G13" s="9" t="s">
        <v>1411</v>
      </c>
      <c r="H13" s="27" t="s">
        <v>1434</v>
      </c>
      <c r="I13" s="314" t="s">
        <v>1435</v>
      </c>
      <c r="J13" s="235" t="s">
        <v>1436</v>
      </c>
      <c r="K13" s="335" t="s">
        <v>992</v>
      </c>
      <c r="L13" s="237" t="s">
        <v>648</v>
      </c>
      <c r="M13" s="320" t="str">
        <f>HYPERLINK("D:\RaoVat_AutomationTesting\Screenshots\Pass_KS06.png", "Xem ảnh lỗi")</f>
        <v>Xem ảnh lỗi</v>
      </c>
    </row>
    <row r="14" spans="1:13" ht="24.75" customHeight="1" thickBot="1">
      <c r="A14" s="234"/>
      <c r="B14" s="259"/>
      <c r="C14" s="264"/>
      <c r="D14" s="234"/>
      <c r="E14" s="204"/>
      <c r="F14" s="27">
        <v>2</v>
      </c>
      <c r="G14" s="9" t="s">
        <v>1407</v>
      </c>
      <c r="H14" s="27"/>
      <c r="I14" s="315"/>
      <c r="J14" s="204"/>
      <c r="K14" s="204"/>
      <c r="L14" s="204"/>
      <c r="M14" s="204"/>
    </row>
    <row r="15" spans="1:13" ht="24.75" customHeight="1">
      <c r="A15" s="234">
        <v>7</v>
      </c>
      <c r="B15" s="259"/>
      <c r="C15" s="264" t="s">
        <v>1437</v>
      </c>
      <c r="D15" s="234" t="s">
        <v>1438</v>
      </c>
      <c r="E15" s="235" t="s">
        <v>1439</v>
      </c>
      <c r="F15" s="27">
        <v>1</v>
      </c>
      <c r="G15" s="9" t="s">
        <v>1411</v>
      </c>
      <c r="H15" s="27" t="s">
        <v>1440</v>
      </c>
      <c r="I15" s="314" t="s">
        <v>1425</v>
      </c>
      <c r="J15" s="235" t="s">
        <v>1441</v>
      </c>
      <c r="K15" s="335" t="s">
        <v>992</v>
      </c>
      <c r="L15" s="237" t="s">
        <v>648</v>
      </c>
      <c r="M15" s="320" t="str">
        <f>HYPERLINK("D:\RaoVat_AutomationTesting\Screenshots\Pass_KS07.png", "Xem ảnh lỗi")</f>
        <v>Xem ảnh lỗi</v>
      </c>
    </row>
    <row r="16" spans="1:13" ht="24.75" customHeight="1">
      <c r="A16" s="234"/>
      <c r="B16" s="259"/>
      <c r="C16" s="264"/>
      <c r="D16" s="234"/>
      <c r="E16" s="204"/>
      <c r="F16" s="27">
        <v>2</v>
      </c>
      <c r="G16" s="9" t="s">
        <v>1407</v>
      </c>
      <c r="H16" s="27"/>
      <c r="I16" s="315"/>
      <c r="J16" s="204"/>
      <c r="K16" s="204"/>
      <c r="L16" s="204"/>
      <c r="M16" s="204"/>
    </row>
    <row r="17" spans="1:13" ht="24.75" customHeight="1">
      <c r="A17" s="234">
        <v>8</v>
      </c>
      <c r="B17" s="259"/>
      <c r="C17" s="264" t="s">
        <v>1442</v>
      </c>
      <c r="D17" s="234" t="s">
        <v>1443</v>
      </c>
      <c r="E17" s="235" t="s">
        <v>1433</v>
      </c>
      <c r="F17" s="27">
        <v>1</v>
      </c>
      <c r="G17" s="9" t="s">
        <v>1411</v>
      </c>
      <c r="H17" s="27" t="s">
        <v>1404</v>
      </c>
      <c r="I17" s="314" t="s">
        <v>1444</v>
      </c>
      <c r="J17" s="235" t="s">
        <v>1445</v>
      </c>
      <c r="K17" s="335" t="s">
        <v>992</v>
      </c>
      <c r="L17" s="235" t="s">
        <v>648</v>
      </c>
      <c r="M17" s="320" t="str">
        <f>HYPERLINK("D:\RaoVat_AutomationTesting\Screenshots\Pass_KS08.png", "Xem ảnh lỗi")</f>
        <v>Xem ảnh lỗi</v>
      </c>
    </row>
    <row r="18" spans="1:13" ht="24.75" customHeight="1">
      <c r="A18" s="234"/>
      <c r="B18" s="259"/>
      <c r="C18" s="264"/>
      <c r="D18" s="234"/>
      <c r="E18" s="203"/>
      <c r="F18" s="27">
        <v>2</v>
      </c>
      <c r="G18" s="9" t="s">
        <v>1407</v>
      </c>
      <c r="H18" s="27"/>
      <c r="I18" s="316"/>
      <c r="J18" s="203"/>
      <c r="K18" s="203"/>
      <c r="L18" s="203"/>
      <c r="M18" s="203"/>
    </row>
    <row r="19" spans="1:13" ht="24.75" customHeight="1">
      <c r="A19" s="234"/>
      <c r="B19" s="259"/>
      <c r="C19" s="264"/>
      <c r="D19" s="234"/>
      <c r="E19" s="203"/>
      <c r="F19" s="27">
        <v>3</v>
      </c>
      <c r="G19" s="9" t="s">
        <v>1446</v>
      </c>
      <c r="H19" s="27" t="s">
        <v>1447</v>
      </c>
      <c r="I19" s="316"/>
      <c r="J19" s="203"/>
      <c r="K19" s="203"/>
      <c r="L19" s="203"/>
      <c r="M19" s="203"/>
    </row>
    <row r="20" spans="1:13" ht="24.75" customHeight="1" thickBot="1">
      <c r="A20" s="234"/>
      <c r="B20" s="259"/>
      <c r="C20" s="264"/>
      <c r="D20" s="234"/>
      <c r="E20" s="204"/>
      <c r="F20" s="27">
        <v>4</v>
      </c>
      <c r="G20" s="9" t="s">
        <v>1407</v>
      </c>
      <c r="H20" s="27"/>
      <c r="I20" s="315"/>
      <c r="J20" s="204"/>
      <c r="K20" s="204"/>
      <c r="L20" s="204"/>
      <c r="M20" s="204"/>
    </row>
    <row r="21" spans="1:13" ht="24.75" customHeight="1">
      <c r="A21" s="234">
        <v>9</v>
      </c>
      <c r="B21" s="259"/>
      <c r="C21" s="264" t="s">
        <v>1448</v>
      </c>
      <c r="D21" s="234" t="s">
        <v>1449</v>
      </c>
      <c r="E21" s="235" t="s">
        <v>1450</v>
      </c>
      <c r="F21" s="27">
        <v>1</v>
      </c>
      <c r="G21" s="9" t="s">
        <v>1411</v>
      </c>
      <c r="H21" s="27" t="s">
        <v>1412</v>
      </c>
      <c r="I21" s="314" t="s">
        <v>1451</v>
      </c>
      <c r="J21" s="235" t="s">
        <v>1414</v>
      </c>
      <c r="K21" s="335" t="s">
        <v>992</v>
      </c>
      <c r="L21" s="237" t="s">
        <v>648</v>
      </c>
      <c r="M21" s="320" t="str">
        <f>HYPERLINK("D:\RaoVat_AutomationTesting\Screenshots\Pass_KS09.png", "Xem ảnh lỗi")</f>
        <v>Xem ảnh lỗi</v>
      </c>
    </row>
    <row r="22" spans="1:13" ht="24.75" customHeight="1" thickBot="1">
      <c r="A22" s="234"/>
      <c r="B22" s="259"/>
      <c r="C22" s="264"/>
      <c r="D22" s="234"/>
      <c r="E22" s="204"/>
      <c r="F22" s="27">
        <v>2</v>
      </c>
      <c r="G22" s="9" t="s">
        <v>1407</v>
      </c>
      <c r="H22" s="27"/>
      <c r="I22" s="315"/>
      <c r="J22" s="204"/>
      <c r="K22" s="204"/>
      <c r="L22" s="204"/>
      <c r="M22" s="204"/>
    </row>
    <row r="23" spans="1:13" ht="24.75" customHeight="1">
      <c r="A23" s="234">
        <v>10</v>
      </c>
      <c r="B23" s="259"/>
      <c r="C23" s="264" t="s">
        <v>1452</v>
      </c>
      <c r="D23" s="234" t="s">
        <v>1453</v>
      </c>
      <c r="E23" s="235" t="s">
        <v>1433</v>
      </c>
      <c r="F23" s="27">
        <v>1</v>
      </c>
      <c r="G23" s="9" t="s">
        <v>1411</v>
      </c>
      <c r="H23" s="27" t="s">
        <v>1404</v>
      </c>
      <c r="I23" s="314" t="s">
        <v>1454</v>
      </c>
      <c r="J23" s="235" t="s">
        <v>1406</v>
      </c>
      <c r="K23" s="335" t="s">
        <v>992</v>
      </c>
      <c r="L23" s="237" t="s">
        <v>648</v>
      </c>
      <c r="M23" s="320" t="str">
        <f>HYPERLINK("D:\RaoVat_AutomationTesting\Screenshots\Pass_KS10.png", "Xem ảnh lỗi")</f>
        <v>Xem ảnh lỗi</v>
      </c>
    </row>
    <row r="24" spans="1:13" ht="24.75" customHeight="1" thickBot="1">
      <c r="A24" s="234"/>
      <c r="B24" s="259"/>
      <c r="C24" s="264"/>
      <c r="D24" s="234"/>
      <c r="E24" s="204"/>
      <c r="F24" s="27">
        <v>2</v>
      </c>
      <c r="G24" s="9" t="s">
        <v>1407</v>
      </c>
      <c r="H24" s="27"/>
      <c r="I24" s="315"/>
      <c r="J24" s="204"/>
      <c r="K24" s="204"/>
      <c r="L24" s="204"/>
      <c r="M24" s="204"/>
    </row>
    <row r="25" spans="1:13" ht="24.75" customHeight="1">
      <c r="A25" s="234">
        <v>11</v>
      </c>
      <c r="B25" s="259" t="s">
        <v>1455</v>
      </c>
      <c r="C25" s="264" t="s">
        <v>1456</v>
      </c>
      <c r="D25" s="234" t="s">
        <v>1457</v>
      </c>
      <c r="E25" s="235" t="s">
        <v>1433</v>
      </c>
      <c r="F25" s="27">
        <v>1</v>
      </c>
      <c r="G25" s="9" t="s">
        <v>1458</v>
      </c>
      <c r="H25" s="27"/>
      <c r="I25" s="314" t="s">
        <v>1459</v>
      </c>
      <c r="J25" s="235" t="s">
        <v>1460</v>
      </c>
      <c r="K25" s="335" t="s">
        <v>992</v>
      </c>
      <c r="L25" s="237" t="s">
        <v>648</v>
      </c>
      <c r="M25" s="320" t="str">
        <f>HYPERLINK("D:\RaoVat_AutomationTesting\Screenshots\Pass_ES01.png", "Xem ảnh lỗi")</f>
        <v>Xem ảnh lỗi</v>
      </c>
    </row>
    <row r="26" spans="1:13" ht="24.75" customHeight="1" thickBot="1">
      <c r="A26" s="234"/>
      <c r="B26" s="259"/>
      <c r="C26" s="264"/>
      <c r="D26" s="234"/>
      <c r="E26" s="204"/>
      <c r="F26" s="27">
        <v>2</v>
      </c>
      <c r="G26" s="9" t="s">
        <v>1407</v>
      </c>
      <c r="H26" s="27"/>
      <c r="I26" s="315"/>
      <c r="J26" s="204"/>
      <c r="K26" s="204"/>
      <c r="L26" s="204"/>
      <c r="M26" s="204"/>
    </row>
    <row r="27" spans="1:13" ht="24.75" customHeight="1">
      <c r="A27" s="234">
        <v>12</v>
      </c>
      <c r="B27" s="259"/>
      <c r="C27" s="264" t="s">
        <v>1461</v>
      </c>
      <c r="D27" s="234" t="s">
        <v>1462</v>
      </c>
      <c r="E27" s="235" t="s">
        <v>1433</v>
      </c>
      <c r="F27" s="27">
        <v>1</v>
      </c>
      <c r="G27" s="9" t="s">
        <v>1463</v>
      </c>
      <c r="H27" s="27" t="s">
        <v>1464</v>
      </c>
      <c r="I27" s="339" t="s">
        <v>1465</v>
      </c>
      <c r="J27" s="235" t="s">
        <v>1466</v>
      </c>
      <c r="K27" s="335" t="s">
        <v>992</v>
      </c>
      <c r="L27" s="237" t="s">
        <v>648</v>
      </c>
      <c r="M27" s="320" t="str">
        <f>HYPERLINK("D:\RaoVat_AutomationTesting\Screenshots\Pass_ES02.png", "Xem ảnh lỗi")</f>
        <v>Xem ảnh lỗi</v>
      </c>
    </row>
    <row r="28" spans="1:13" ht="24.75" customHeight="1" thickBot="1">
      <c r="A28" s="234"/>
      <c r="B28" s="259"/>
      <c r="C28" s="264"/>
      <c r="D28" s="234"/>
      <c r="E28" s="204"/>
      <c r="F28" s="27">
        <v>2</v>
      </c>
      <c r="G28" s="9" t="s">
        <v>1407</v>
      </c>
      <c r="H28" s="27"/>
      <c r="I28" s="340"/>
      <c r="J28" s="204"/>
      <c r="K28" s="204"/>
      <c r="L28" s="204"/>
      <c r="M28" s="204"/>
    </row>
    <row r="29" spans="1:13" ht="24.75" customHeight="1">
      <c r="A29" s="234">
        <v>13</v>
      </c>
      <c r="B29" s="259"/>
      <c r="C29" s="264" t="s">
        <v>1467</v>
      </c>
      <c r="D29" s="234" t="s">
        <v>1468</v>
      </c>
      <c r="E29" s="235" t="s">
        <v>1433</v>
      </c>
      <c r="F29" s="27">
        <v>1</v>
      </c>
      <c r="G29" s="9" t="s">
        <v>1469</v>
      </c>
      <c r="H29" s="27"/>
      <c r="I29" s="314" t="s">
        <v>1470</v>
      </c>
      <c r="J29" s="235" t="s">
        <v>1460</v>
      </c>
      <c r="K29" s="335" t="s">
        <v>992</v>
      </c>
      <c r="L29" s="237" t="s">
        <v>648</v>
      </c>
      <c r="M29" s="320" t="str">
        <f>HYPERLINK("D:\RaoVat_AutomationTesting\Screenshots\Pass_ES03.png", "Xem ảnh lỗi")</f>
        <v>Xem ảnh lỗi</v>
      </c>
    </row>
    <row r="30" spans="1:13" ht="24.75" customHeight="1" thickBot="1">
      <c r="A30" s="234"/>
      <c r="B30" s="259"/>
      <c r="C30" s="264"/>
      <c r="D30" s="234"/>
      <c r="E30" s="204"/>
      <c r="F30" s="27">
        <v>2</v>
      </c>
      <c r="G30" s="9" t="s">
        <v>1407</v>
      </c>
      <c r="H30" s="27"/>
      <c r="I30" s="315"/>
      <c r="J30" s="204"/>
      <c r="K30" s="204"/>
      <c r="L30" s="204"/>
      <c r="M30" s="204"/>
    </row>
    <row r="31" spans="1:13" ht="24.75" customHeight="1">
      <c r="A31" s="234">
        <v>14</v>
      </c>
      <c r="B31" s="259"/>
      <c r="C31" s="264" t="s">
        <v>1471</v>
      </c>
      <c r="D31" s="234" t="s">
        <v>1432</v>
      </c>
      <c r="E31" s="235" t="s">
        <v>1433</v>
      </c>
      <c r="F31" s="27">
        <v>1</v>
      </c>
      <c r="G31" s="9" t="s">
        <v>1463</v>
      </c>
      <c r="H31" s="28" t="s">
        <v>1472</v>
      </c>
      <c r="I31" s="314" t="s">
        <v>1473</v>
      </c>
      <c r="J31" s="235" t="s">
        <v>1474</v>
      </c>
      <c r="K31" s="335" t="s">
        <v>992</v>
      </c>
      <c r="L31" s="237" t="s">
        <v>648</v>
      </c>
      <c r="M31" s="320" t="str">
        <f>HYPERLINK("D:\RaoVat_AutomationTesting\Screenshots\Pass_ES04.png", "Xem ảnh lỗi")</f>
        <v>Xem ảnh lỗi</v>
      </c>
    </row>
    <row r="32" spans="1:13" ht="24.75" customHeight="1" thickBot="1">
      <c r="A32" s="234"/>
      <c r="B32" s="259"/>
      <c r="C32" s="264"/>
      <c r="D32" s="234"/>
      <c r="E32" s="204"/>
      <c r="F32" s="27">
        <v>2</v>
      </c>
      <c r="G32" s="9" t="s">
        <v>1407</v>
      </c>
      <c r="H32" s="27"/>
      <c r="I32" s="315"/>
      <c r="J32" s="204"/>
      <c r="K32" s="204"/>
      <c r="L32" s="204"/>
      <c r="M32" s="204"/>
    </row>
    <row r="33" spans="1:13" ht="24.75" customHeight="1">
      <c r="A33" s="234">
        <v>15</v>
      </c>
      <c r="B33" s="259"/>
      <c r="C33" s="264" t="s">
        <v>1475</v>
      </c>
      <c r="D33" s="234" t="s">
        <v>1476</v>
      </c>
      <c r="E33" s="235" t="s">
        <v>1433</v>
      </c>
      <c r="F33" s="27">
        <v>1</v>
      </c>
      <c r="G33" s="9" t="s">
        <v>1463</v>
      </c>
      <c r="H33" s="27">
        <v>999999</v>
      </c>
      <c r="I33" s="314" t="s">
        <v>1477</v>
      </c>
      <c r="J33" s="235" t="s">
        <v>1478</v>
      </c>
      <c r="K33" s="335" t="s">
        <v>992</v>
      </c>
      <c r="L33" s="237" t="s">
        <v>648</v>
      </c>
      <c r="M33" s="320" t="str">
        <f>HYPERLINK("D:\RaoVat_AutomationTesting\Screenshots\Pass_ES05.png", "Xem ảnh lỗi")</f>
        <v>Xem ảnh lỗi</v>
      </c>
    </row>
    <row r="34" spans="1:13" ht="24.75" customHeight="1" thickBot="1">
      <c r="A34" s="234"/>
      <c r="B34" s="259"/>
      <c r="C34" s="264"/>
      <c r="D34" s="234"/>
      <c r="E34" s="204"/>
      <c r="F34" s="27">
        <v>2</v>
      </c>
      <c r="G34" s="9" t="s">
        <v>1407</v>
      </c>
      <c r="H34" s="27"/>
      <c r="I34" s="315"/>
      <c r="J34" s="204"/>
      <c r="K34" s="204"/>
      <c r="L34" s="204"/>
      <c r="M34" s="204"/>
    </row>
    <row r="35" spans="1:13" ht="24.75" customHeight="1">
      <c r="A35" s="234">
        <v>16</v>
      </c>
      <c r="B35" s="259"/>
      <c r="C35" s="264" t="s">
        <v>1479</v>
      </c>
      <c r="D35" s="234" t="s">
        <v>1480</v>
      </c>
      <c r="E35" s="235" t="s">
        <v>1433</v>
      </c>
      <c r="F35" s="27">
        <v>1</v>
      </c>
      <c r="G35" s="9" t="s">
        <v>1481</v>
      </c>
      <c r="H35" s="27"/>
      <c r="I35" s="314" t="s">
        <v>1482</v>
      </c>
      <c r="J35" s="235" t="s">
        <v>1483</v>
      </c>
      <c r="K35" s="335" t="s">
        <v>992</v>
      </c>
      <c r="L35" s="237" t="s">
        <v>648</v>
      </c>
      <c r="M35" s="320" t="str">
        <f>HYPERLINK("D:\RaoVat_AutomationTesting\Screenshots\Pass_ES06.png", "Xem ảnh lỗi")</f>
        <v>Xem ảnh lỗi</v>
      </c>
    </row>
    <row r="36" spans="1:13" ht="24.75" customHeight="1" thickBot="1">
      <c r="A36" s="234"/>
      <c r="B36" s="259"/>
      <c r="C36" s="264"/>
      <c r="D36" s="234"/>
      <c r="E36" s="204"/>
      <c r="F36" s="27">
        <v>2</v>
      </c>
      <c r="G36" s="9" t="s">
        <v>1407</v>
      </c>
      <c r="H36" s="27"/>
      <c r="I36" s="315"/>
      <c r="J36" s="204"/>
      <c r="K36" s="204"/>
      <c r="L36" s="204"/>
      <c r="M36" s="204"/>
    </row>
    <row r="37" spans="1:13" ht="24.75" customHeight="1">
      <c r="A37" s="234">
        <v>17</v>
      </c>
      <c r="B37" s="259"/>
      <c r="C37" s="264" t="s">
        <v>1484</v>
      </c>
      <c r="D37" s="234" t="s">
        <v>1485</v>
      </c>
      <c r="E37" s="235" t="s">
        <v>1433</v>
      </c>
      <c r="F37" s="27">
        <v>1</v>
      </c>
      <c r="G37" s="9" t="s">
        <v>1463</v>
      </c>
      <c r="H37" s="27" t="s">
        <v>687</v>
      </c>
      <c r="I37" s="314" t="s">
        <v>1486</v>
      </c>
      <c r="J37" s="235" t="s">
        <v>1483</v>
      </c>
      <c r="K37" s="335" t="s">
        <v>992</v>
      </c>
      <c r="L37" s="237" t="s">
        <v>648</v>
      </c>
      <c r="M37" s="320" t="str">
        <f>HYPERLINK("D:\RaoVat_AutomationTesting\Screenshots\Pass_ES07.png", "Xem ảnh lỗi")</f>
        <v>Xem ảnh lỗi</v>
      </c>
    </row>
    <row r="38" spans="1:13" ht="24.75" customHeight="1" thickBot="1">
      <c r="A38" s="234"/>
      <c r="B38" s="259"/>
      <c r="C38" s="264"/>
      <c r="D38" s="234"/>
      <c r="E38" s="204"/>
      <c r="F38" s="27">
        <v>2</v>
      </c>
      <c r="G38" s="9" t="s">
        <v>1407</v>
      </c>
      <c r="H38" s="27"/>
      <c r="I38" s="315"/>
      <c r="J38" s="204"/>
      <c r="K38" s="204"/>
      <c r="L38" s="204"/>
      <c r="M38" s="204"/>
    </row>
    <row r="39" spans="1:13" ht="24.75" customHeight="1">
      <c r="A39" s="234">
        <v>18</v>
      </c>
      <c r="B39" s="259"/>
      <c r="C39" s="264" t="s">
        <v>1487</v>
      </c>
      <c r="D39" s="202" t="s">
        <v>1488</v>
      </c>
      <c r="E39" s="235" t="s">
        <v>1433</v>
      </c>
      <c r="F39" s="27">
        <v>1</v>
      </c>
      <c r="G39" s="9" t="s">
        <v>1463</v>
      </c>
      <c r="H39" s="27" t="s">
        <v>687</v>
      </c>
      <c r="I39" s="314" t="s">
        <v>1489</v>
      </c>
      <c r="J39" s="235" t="s">
        <v>1483</v>
      </c>
      <c r="K39" s="335" t="s">
        <v>992</v>
      </c>
      <c r="L39" s="237" t="s">
        <v>648</v>
      </c>
      <c r="M39" s="320" t="str">
        <f>HYPERLINK("D:\RaoVat_AutomationTesting\Screenshots\Pass_ES08.png", "Xem ảnh lỗi")</f>
        <v>Xem ảnh lỗi</v>
      </c>
    </row>
    <row r="40" spans="1:13" ht="24.75" customHeight="1">
      <c r="A40" s="202"/>
      <c r="B40" s="259"/>
      <c r="C40" s="255"/>
      <c r="D40" s="317"/>
      <c r="E40" s="204"/>
      <c r="F40" s="24">
        <v>2</v>
      </c>
      <c r="G40" s="35" t="s">
        <v>1407</v>
      </c>
      <c r="H40" s="24"/>
      <c r="I40" s="341"/>
      <c r="J40" s="204"/>
      <c r="K40" s="204"/>
      <c r="L40" s="204"/>
      <c r="M40" s="204"/>
    </row>
    <row r="41" spans="1:13" s="26" customFormat="1" ht="24.75" customHeight="1">
      <c r="A41" s="301">
        <v>19</v>
      </c>
      <c r="B41" s="329" t="s">
        <v>1490</v>
      </c>
      <c r="C41" s="305" t="s">
        <v>1491</v>
      </c>
      <c r="D41" s="301" t="s">
        <v>1492</v>
      </c>
      <c r="E41" s="304" t="s">
        <v>1493</v>
      </c>
      <c r="F41" s="29">
        <v>1</v>
      </c>
      <c r="G41" s="36" t="s">
        <v>1494</v>
      </c>
      <c r="H41" s="29"/>
      <c r="I41" s="318"/>
      <c r="J41" s="304" t="s">
        <v>1495</v>
      </c>
      <c r="K41" s="345" t="s">
        <v>992</v>
      </c>
      <c r="L41" s="304" t="s">
        <v>648</v>
      </c>
      <c r="M41" s="344" t="str">
        <f>HYPERLINK("D:\RaoVat_AutomationTesting\Screenshots\Pass_FA01.png", "Xem ảnh lỗi")</f>
        <v>Xem ảnh lỗi</v>
      </c>
    </row>
    <row r="42" spans="1:13" s="26" customFormat="1" ht="24.75" customHeight="1">
      <c r="A42" s="303"/>
      <c r="B42" s="330"/>
      <c r="C42" s="306"/>
      <c r="D42" s="303"/>
      <c r="E42" s="303"/>
      <c r="F42" s="29">
        <v>2</v>
      </c>
      <c r="G42" s="36" t="s">
        <v>1496</v>
      </c>
      <c r="H42" s="29" t="s">
        <v>1497</v>
      </c>
      <c r="I42" s="319"/>
      <c r="J42" s="303"/>
      <c r="K42" s="303"/>
      <c r="L42" s="303"/>
      <c r="M42" s="303"/>
    </row>
    <row r="43" spans="1:13" s="26" customFormat="1" ht="24.75" customHeight="1">
      <c r="A43" s="302"/>
      <c r="B43" s="330"/>
      <c r="C43" s="307"/>
      <c r="D43" s="302"/>
      <c r="E43" s="302"/>
      <c r="F43" s="29">
        <v>3</v>
      </c>
      <c r="G43" s="36" t="s">
        <v>1498</v>
      </c>
      <c r="H43" s="29"/>
      <c r="I43" s="34" t="s">
        <v>1499</v>
      </c>
      <c r="J43" s="302"/>
      <c r="K43" s="302"/>
      <c r="L43" s="302"/>
      <c r="M43" s="302"/>
    </row>
    <row r="44" spans="1:13" s="26" customFormat="1" ht="24.75" customHeight="1">
      <c r="A44" s="311">
        <v>20</v>
      </c>
      <c r="B44" s="330"/>
      <c r="C44" s="308" t="s">
        <v>1500</v>
      </c>
      <c r="D44" s="311" t="s">
        <v>1501</v>
      </c>
      <c r="E44" s="311" t="s">
        <v>1493</v>
      </c>
      <c r="F44" s="29">
        <v>1</v>
      </c>
      <c r="G44" s="36" t="s">
        <v>1502</v>
      </c>
      <c r="H44" s="29"/>
      <c r="I44" s="318" t="s">
        <v>1503</v>
      </c>
      <c r="J44" s="311" t="s">
        <v>1504</v>
      </c>
      <c r="K44" s="347" t="s">
        <v>992</v>
      </c>
      <c r="L44" s="311" t="s">
        <v>648</v>
      </c>
      <c r="M44" s="348" t="str">
        <f>HYPERLINK("D:\RaoVat_AutomationTesting\Screenshots\Pass_FA02.png", "Xem ảnh lỗi")</f>
        <v>Xem ảnh lỗi</v>
      </c>
    </row>
    <row r="45" spans="1:13" s="26" customFormat="1" ht="24.75" customHeight="1">
      <c r="A45" s="312"/>
      <c r="B45" s="330"/>
      <c r="C45" s="309"/>
      <c r="D45" s="312"/>
      <c r="E45" s="312"/>
      <c r="F45" s="29">
        <v>2</v>
      </c>
      <c r="G45" s="36" t="s">
        <v>1505</v>
      </c>
      <c r="H45" s="29" t="s">
        <v>1506</v>
      </c>
      <c r="I45" s="332"/>
      <c r="J45" s="312"/>
      <c r="K45" s="312"/>
      <c r="L45" s="312"/>
      <c r="M45" s="312"/>
    </row>
    <row r="46" spans="1:13" s="26" customFormat="1" ht="24.75" customHeight="1" thickBot="1">
      <c r="A46" s="313"/>
      <c r="B46" s="330"/>
      <c r="C46" s="310"/>
      <c r="D46" s="313"/>
      <c r="E46" s="313"/>
      <c r="F46" s="29">
        <v>3</v>
      </c>
      <c r="G46" s="36" t="s">
        <v>1507</v>
      </c>
      <c r="H46" s="29"/>
      <c r="I46" s="319"/>
      <c r="J46" s="313"/>
      <c r="K46" s="313"/>
      <c r="L46" s="313"/>
      <c r="M46" s="313"/>
    </row>
    <row r="47" spans="1:13" s="26" customFormat="1" ht="24.75" customHeight="1">
      <c r="A47" s="301">
        <v>21</v>
      </c>
      <c r="B47" s="330"/>
      <c r="C47" s="305" t="s">
        <v>1508</v>
      </c>
      <c r="D47" s="301" t="s">
        <v>1509</v>
      </c>
      <c r="E47" s="301" t="s">
        <v>1493</v>
      </c>
      <c r="F47" s="29">
        <v>1</v>
      </c>
      <c r="G47" s="36" t="s">
        <v>1510</v>
      </c>
      <c r="H47" s="29" t="s">
        <v>1511</v>
      </c>
      <c r="I47" s="318" t="s">
        <v>1512</v>
      </c>
      <c r="J47" s="301" t="s">
        <v>1504</v>
      </c>
      <c r="K47" s="336" t="s">
        <v>992</v>
      </c>
      <c r="L47" s="237" t="s">
        <v>648</v>
      </c>
      <c r="M47" s="346" t="str">
        <f>HYPERLINK("D:\RaoVat_AutomationTesting\Screenshots\Pass_FA03.png", "Xem ảnh lỗi")</f>
        <v>Xem ảnh lỗi</v>
      </c>
    </row>
    <row r="48" spans="1:13" s="26" customFormat="1" ht="24.75" customHeight="1">
      <c r="A48" s="302"/>
      <c r="B48" s="330"/>
      <c r="C48" s="307"/>
      <c r="D48" s="302"/>
      <c r="E48" s="302"/>
      <c r="F48" s="29">
        <v>2</v>
      </c>
      <c r="G48" s="36" t="s">
        <v>1513</v>
      </c>
      <c r="H48" s="29"/>
      <c r="I48" s="319"/>
      <c r="J48" s="302"/>
      <c r="K48" s="302"/>
      <c r="L48" s="204"/>
      <c r="M48" s="302"/>
    </row>
    <row r="49" spans="1:13" s="26" customFormat="1" ht="24.75" customHeight="1">
      <c r="A49" s="301">
        <v>22</v>
      </c>
      <c r="B49" s="330"/>
      <c r="C49" s="305" t="s">
        <v>1514</v>
      </c>
      <c r="D49" s="301" t="s">
        <v>1515</v>
      </c>
      <c r="E49" s="301" t="s">
        <v>1493</v>
      </c>
      <c r="F49" s="29">
        <v>1</v>
      </c>
      <c r="G49" s="36" t="s">
        <v>1516</v>
      </c>
      <c r="H49" s="29" t="s">
        <v>1517</v>
      </c>
      <c r="I49" s="318" t="s">
        <v>1518</v>
      </c>
      <c r="J49" s="301" t="s">
        <v>1504</v>
      </c>
      <c r="K49" s="336" t="s">
        <v>992</v>
      </c>
      <c r="L49" s="301" t="s">
        <v>648</v>
      </c>
      <c r="M49" s="346" t="str">
        <f>HYPERLINK("D:\RaoVat_AutomationTesting\Screenshots\Pass_FA04.png", "Xem ảnh lỗi")</f>
        <v>Xem ảnh lỗi</v>
      </c>
    </row>
    <row r="50" spans="1:13" s="26" customFormat="1" ht="24.75" customHeight="1">
      <c r="A50" s="303"/>
      <c r="B50" s="330"/>
      <c r="C50" s="306"/>
      <c r="D50" s="303"/>
      <c r="E50" s="303"/>
      <c r="F50" s="29">
        <v>2</v>
      </c>
      <c r="G50" s="36" t="s">
        <v>1519</v>
      </c>
      <c r="H50" s="29"/>
      <c r="I50" s="332"/>
      <c r="J50" s="303"/>
      <c r="K50" s="303"/>
      <c r="L50" s="303"/>
      <c r="M50" s="303"/>
    </row>
    <row r="51" spans="1:13" s="26" customFormat="1" ht="24.75" customHeight="1">
      <c r="A51" s="302"/>
      <c r="B51" s="330"/>
      <c r="C51" s="307"/>
      <c r="D51" s="302"/>
      <c r="E51" s="302"/>
      <c r="F51" s="29">
        <v>3</v>
      </c>
      <c r="G51" s="36" t="s">
        <v>1507</v>
      </c>
      <c r="H51" s="29"/>
      <c r="I51" s="319"/>
      <c r="J51" s="302"/>
      <c r="K51" s="302"/>
      <c r="L51" s="302"/>
      <c r="M51" s="302"/>
    </row>
    <row r="52" spans="1:13" s="26" customFormat="1" ht="24.75" customHeight="1">
      <c r="A52" s="301">
        <v>23</v>
      </c>
      <c r="B52" s="330"/>
      <c r="C52" s="305" t="s">
        <v>1520</v>
      </c>
      <c r="D52" s="301" t="s">
        <v>1521</v>
      </c>
      <c r="E52" s="301" t="s">
        <v>1493</v>
      </c>
      <c r="F52" s="29">
        <v>1</v>
      </c>
      <c r="G52" s="36" t="s">
        <v>1522</v>
      </c>
      <c r="H52" s="29" t="s">
        <v>1523</v>
      </c>
      <c r="I52" s="318" t="s">
        <v>1524</v>
      </c>
      <c r="J52" s="301" t="s">
        <v>1525</v>
      </c>
      <c r="K52" s="336" t="s">
        <v>992</v>
      </c>
      <c r="L52" s="301" t="s">
        <v>648</v>
      </c>
      <c r="M52" s="346" t="str">
        <f>HYPERLINK("D:\RaoVat_AutomationTesting\Screenshots\Pass_FA05.png", "Xem ảnh lỗi")</f>
        <v>Xem ảnh lỗi</v>
      </c>
    </row>
    <row r="53" spans="1:13" s="26" customFormat="1" ht="24.75" customHeight="1">
      <c r="A53" s="303"/>
      <c r="B53" s="330"/>
      <c r="C53" s="306"/>
      <c r="D53" s="303"/>
      <c r="E53" s="303"/>
      <c r="F53" s="29">
        <v>2</v>
      </c>
      <c r="G53" s="36" t="s">
        <v>1526</v>
      </c>
      <c r="H53" s="29"/>
      <c r="I53" s="332"/>
      <c r="J53" s="303"/>
      <c r="K53" s="303"/>
      <c r="L53" s="303"/>
      <c r="M53" s="303"/>
    </row>
    <row r="54" spans="1:13" s="26" customFormat="1" ht="24.75" customHeight="1">
      <c r="A54" s="302"/>
      <c r="B54" s="330"/>
      <c r="C54" s="307"/>
      <c r="D54" s="302"/>
      <c r="E54" s="302"/>
      <c r="F54" s="29">
        <v>3</v>
      </c>
      <c r="G54" s="36" t="s">
        <v>1507</v>
      </c>
      <c r="H54" s="29"/>
      <c r="I54" s="319"/>
      <c r="J54" s="302"/>
      <c r="K54" s="302"/>
      <c r="L54" s="302"/>
      <c r="M54" s="302"/>
    </row>
    <row r="55" spans="1:13" s="26" customFormat="1" ht="24.75" customHeight="1">
      <c r="A55" s="301">
        <v>24</v>
      </c>
      <c r="B55" s="330"/>
      <c r="C55" s="305" t="s">
        <v>1527</v>
      </c>
      <c r="D55" s="301" t="s">
        <v>1528</v>
      </c>
      <c r="E55" s="301" t="s">
        <v>1493</v>
      </c>
      <c r="F55" s="29">
        <v>1</v>
      </c>
      <c r="G55" s="36" t="s">
        <v>1529</v>
      </c>
      <c r="H55" s="29" t="s">
        <v>1530</v>
      </c>
      <c r="I55" s="318" t="s">
        <v>1531</v>
      </c>
      <c r="J55" s="301" t="s">
        <v>1532</v>
      </c>
      <c r="K55" s="336" t="s">
        <v>992</v>
      </c>
      <c r="L55" s="301" t="s">
        <v>648</v>
      </c>
      <c r="M55" s="346" t="str">
        <f>HYPERLINK("D:\RaoVat_AutomationTesting\Screenshots\Pass_FA06.png", "Xem ảnh lỗi")</f>
        <v>Xem ảnh lỗi</v>
      </c>
    </row>
    <row r="56" spans="1:13" s="26" customFormat="1" ht="24.75" customHeight="1">
      <c r="A56" s="303"/>
      <c r="B56" s="330"/>
      <c r="C56" s="306"/>
      <c r="D56" s="303"/>
      <c r="E56" s="303"/>
      <c r="F56" s="29">
        <v>2</v>
      </c>
      <c r="G56" s="36" t="s">
        <v>1533</v>
      </c>
      <c r="H56" s="29"/>
      <c r="I56" s="332"/>
      <c r="J56" s="303"/>
      <c r="K56" s="303"/>
      <c r="L56" s="303"/>
      <c r="M56" s="303"/>
    </row>
    <row r="57" spans="1:13" s="26" customFormat="1" ht="24.75" customHeight="1" thickBot="1">
      <c r="A57" s="302"/>
      <c r="B57" s="330"/>
      <c r="C57" s="307"/>
      <c r="D57" s="302"/>
      <c r="E57" s="302"/>
      <c r="F57" s="29">
        <v>3</v>
      </c>
      <c r="G57" s="36" t="s">
        <v>1507</v>
      </c>
      <c r="H57" s="29"/>
      <c r="I57" s="319"/>
      <c r="J57" s="302"/>
      <c r="K57" s="302"/>
      <c r="L57" s="302"/>
      <c r="M57" s="302"/>
    </row>
    <row r="58" spans="1:13" s="26" customFormat="1" ht="24.75" customHeight="1">
      <c r="A58" s="301">
        <v>25</v>
      </c>
      <c r="B58" s="330"/>
      <c r="C58" s="305" t="s">
        <v>1534</v>
      </c>
      <c r="D58" s="301" t="s">
        <v>1535</v>
      </c>
      <c r="E58" s="301" t="s">
        <v>1493</v>
      </c>
      <c r="F58" s="29">
        <v>1</v>
      </c>
      <c r="G58" s="36" t="s">
        <v>1536</v>
      </c>
      <c r="H58" s="29" t="s">
        <v>1537</v>
      </c>
      <c r="I58" s="318" t="s">
        <v>1538</v>
      </c>
      <c r="J58" s="301" t="s">
        <v>1539</v>
      </c>
      <c r="K58" s="336" t="s">
        <v>992</v>
      </c>
      <c r="L58" s="237" t="s">
        <v>648</v>
      </c>
      <c r="M58" s="346" t="str">
        <f>HYPERLINK("D:\RaoVat_AutomationTesting\Screenshots\Pass_FA07.png", "Xem ảnh lỗi")</f>
        <v>Xem ảnh lỗi</v>
      </c>
    </row>
    <row r="59" spans="1:13" s="26" customFormat="1" ht="24.75" customHeight="1">
      <c r="A59" s="302"/>
      <c r="B59" s="330"/>
      <c r="C59" s="307"/>
      <c r="D59" s="302"/>
      <c r="E59" s="302"/>
      <c r="F59" s="29">
        <v>2</v>
      </c>
      <c r="G59" s="36" t="s">
        <v>1507</v>
      </c>
      <c r="H59" s="29"/>
      <c r="I59" s="319"/>
      <c r="J59" s="302"/>
      <c r="K59" s="302"/>
      <c r="L59" s="204"/>
      <c r="M59" s="302"/>
    </row>
    <row r="60" spans="1:13" s="26" customFormat="1" ht="24.75" customHeight="1">
      <c r="A60" s="301">
        <v>26</v>
      </c>
      <c r="B60" s="330"/>
      <c r="C60" s="305" t="s">
        <v>1540</v>
      </c>
      <c r="D60" s="301" t="s">
        <v>1541</v>
      </c>
      <c r="E60" s="301" t="s">
        <v>1493</v>
      </c>
      <c r="F60" s="29">
        <v>1</v>
      </c>
      <c r="G60" s="36" t="s">
        <v>1542</v>
      </c>
      <c r="H60" s="29" t="s">
        <v>1543</v>
      </c>
      <c r="I60" s="318" t="s">
        <v>1544</v>
      </c>
      <c r="J60" s="301" t="s">
        <v>1545</v>
      </c>
      <c r="K60" s="336" t="s">
        <v>992</v>
      </c>
      <c r="L60" s="301" t="s">
        <v>648</v>
      </c>
      <c r="M60" s="346" t="str">
        <f>HYPERLINK("D:\RaoVat_AutomationTesting\Screenshots\Pass_FA08.png", "Xem ảnh lỗi")</f>
        <v>Xem ảnh lỗi</v>
      </c>
    </row>
    <row r="61" spans="1:13" s="26" customFormat="1" ht="24.75" customHeight="1">
      <c r="A61" s="303"/>
      <c r="B61" s="330"/>
      <c r="C61" s="306"/>
      <c r="D61" s="303"/>
      <c r="E61" s="303"/>
      <c r="F61" s="29">
        <v>2</v>
      </c>
      <c r="G61" s="36" t="s">
        <v>1546</v>
      </c>
      <c r="H61" s="29"/>
      <c r="I61" s="332"/>
      <c r="J61" s="303"/>
      <c r="K61" s="303"/>
      <c r="L61" s="303"/>
      <c r="M61" s="303"/>
    </row>
    <row r="62" spans="1:13" s="26" customFormat="1" ht="24.75" customHeight="1" thickBot="1">
      <c r="A62" s="302"/>
      <c r="B62" s="330"/>
      <c r="C62" s="307"/>
      <c r="D62" s="302"/>
      <c r="E62" s="302"/>
      <c r="F62" s="29">
        <v>3</v>
      </c>
      <c r="G62" s="36" t="s">
        <v>1507</v>
      </c>
      <c r="H62" s="29"/>
      <c r="I62" s="319"/>
      <c r="J62" s="302"/>
      <c r="K62" s="302"/>
      <c r="L62" s="302"/>
      <c r="M62" s="302"/>
    </row>
    <row r="63" spans="1:13" s="26" customFormat="1" ht="24.75" customHeight="1">
      <c r="A63" s="301">
        <v>27</v>
      </c>
      <c r="B63" s="330"/>
      <c r="C63" s="305" t="s">
        <v>1547</v>
      </c>
      <c r="D63" s="301" t="s">
        <v>1548</v>
      </c>
      <c r="E63" s="301" t="s">
        <v>1493</v>
      </c>
      <c r="F63" s="29">
        <v>1</v>
      </c>
      <c r="G63" s="36" t="s">
        <v>1549</v>
      </c>
      <c r="H63" s="30" t="s">
        <v>1550</v>
      </c>
      <c r="I63" s="318" t="s">
        <v>1551</v>
      </c>
      <c r="J63" s="301" t="s">
        <v>1552</v>
      </c>
      <c r="K63" s="336" t="s">
        <v>992</v>
      </c>
      <c r="L63" s="237" t="s">
        <v>648</v>
      </c>
      <c r="M63" s="346" t="str">
        <f>HYPERLINK("D:\RaoVat_AutomationTesting\Screenshots\Pass_FA09.png", "Xem ảnh lỗi")</f>
        <v>Xem ảnh lỗi</v>
      </c>
    </row>
    <row r="64" spans="1:13" s="26" customFormat="1" ht="24.75" customHeight="1">
      <c r="A64" s="302"/>
      <c r="B64" s="330"/>
      <c r="C64" s="307"/>
      <c r="D64" s="302"/>
      <c r="E64" s="302"/>
      <c r="F64" s="29">
        <v>2</v>
      </c>
      <c r="G64" s="36" t="s">
        <v>1553</v>
      </c>
      <c r="H64" s="29"/>
      <c r="I64" s="319"/>
      <c r="J64" s="302"/>
      <c r="K64" s="302"/>
      <c r="L64" s="204"/>
      <c r="M64" s="302"/>
    </row>
    <row r="65" spans="1:13" s="26" customFormat="1" ht="24.75" customHeight="1">
      <c r="A65" s="301">
        <v>28</v>
      </c>
      <c r="B65" s="330"/>
      <c r="C65" s="305" t="s">
        <v>1554</v>
      </c>
      <c r="D65" s="301" t="s">
        <v>1555</v>
      </c>
      <c r="E65" s="301" t="s">
        <v>1493</v>
      </c>
      <c r="F65" s="29">
        <v>1</v>
      </c>
      <c r="G65" s="36" t="s">
        <v>1556</v>
      </c>
      <c r="H65" s="29" t="s">
        <v>1557</v>
      </c>
      <c r="I65" s="318" t="s">
        <v>1558</v>
      </c>
      <c r="J65" s="301" t="s">
        <v>1460</v>
      </c>
      <c r="K65" s="336" t="s">
        <v>992</v>
      </c>
      <c r="L65" s="301" t="s">
        <v>648</v>
      </c>
      <c r="M65" s="346" t="str">
        <f>HYPERLINK("D:\RaoVat_AutomationTesting\Screenshots\Pass_FA10.png", "Xem ảnh lỗi")</f>
        <v>Xem ảnh lỗi</v>
      </c>
    </row>
    <row r="66" spans="1:13" s="26" customFormat="1" ht="24.75" customHeight="1">
      <c r="A66" s="303"/>
      <c r="B66" s="330"/>
      <c r="C66" s="306"/>
      <c r="D66" s="303"/>
      <c r="E66" s="303"/>
      <c r="F66" s="29">
        <v>2</v>
      </c>
      <c r="G66" s="36" t="s">
        <v>1559</v>
      </c>
      <c r="H66" s="29"/>
      <c r="I66" s="332"/>
      <c r="J66" s="303"/>
      <c r="K66" s="303"/>
      <c r="L66" s="303"/>
      <c r="M66" s="303"/>
    </row>
    <row r="67" spans="1:13" s="26" customFormat="1" ht="24.75" customHeight="1">
      <c r="A67" s="302"/>
      <c r="B67" s="330"/>
      <c r="C67" s="307"/>
      <c r="D67" s="302"/>
      <c r="E67" s="302"/>
      <c r="F67" s="29">
        <v>3</v>
      </c>
      <c r="G67" s="36" t="s">
        <v>1507</v>
      </c>
      <c r="H67" s="29"/>
      <c r="I67" s="319"/>
      <c r="J67" s="302"/>
      <c r="K67" s="302"/>
      <c r="L67" s="302"/>
      <c r="M67" s="302"/>
    </row>
    <row r="68" spans="1:13" s="26" customFormat="1" ht="24.75" customHeight="1">
      <c r="A68" s="301">
        <v>29</v>
      </c>
      <c r="B68" s="330"/>
      <c r="C68" s="321" t="s">
        <v>1560</v>
      </c>
      <c r="D68" s="324" t="s">
        <v>1561</v>
      </c>
      <c r="E68" s="301" t="s">
        <v>1493</v>
      </c>
      <c r="F68" s="29">
        <v>1</v>
      </c>
      <c r="G68" s="36" t="s">
        <v>1556</v>
      </c>
      <c r="H68" s="29" t="s">
        <v>1562</v>
      </c>
      <c r="I68" s="318" t="s">
        <v>1563</v>
      </c>
      <c r="J68" s="349" t="s">
        <v>1460</v>
      </c>
      <c r="K68" s="336" t="s">
        <v>992</v>
      </c>
      <c r="L68" s="301" t="s">
        <v>648</v>
      </c>
      <c r="M68" s="346" t="str">
        <f>HYPERLINK("D:\RaoVat_AutomationTesting\Screenshots\Pass_FA11.png", "Xem ảnh lỗi")</f>
        <v>Xem ảnh lỗi</v>
      </c>
    </row>
    <row r="69" spans="1:13" s="26" customFormat="1" ht="24.75" customHeight="1">
      <c r="A69" s="303"/>
      <c r="B69" s="330"/>
      <c r="C69" s="322"/>
      <c r="D69" s="325"/>
      <c r="E69" s="303"/>
      <c r="F69" s="29">
        <v>2</v>
      </c>
      <c r="G69" s="36" t="s">
        <v>1564</v>
      </c>
      <c r="H69" s="29"/>
      <c r="I69" s="332"/>
      <c r="J69" s="350"/>
      <c r="K69" s="303"/>
      <c r="L69" s="303"/>
      <c r="M69" s="303"/>
    </row>
    <row r="70" spans="1:13" s="26" customFormat="1" ht="24.75" customHeight="1">
      <c r="A70" s="302"/>
      <c r="B70" s="330"/>
      <c r="C70" s="323"/>
      <c r="D70" s="326"/>
      <c r="E70" s="302"/>
      <c r="F70" s="29">
        <v>3</v>
      </c>
      <c r="G70" s="36" t="s">
        <v>1507</v>
      </c>
      <c r="H70" s="29"/>
      <c r="I70" s="319"/>
      <c r="J70" s="351"/>
      <c r="K70" s="302"/>
      <c r="L70" s="302"/>
      <c r="M70" s="302"/>
    </row>
    <row r="71" spans="1:13" s="26" customFormat="1" ht="24.75" customHeight="1">
      <c r="A71" s="301">
        <v>30</v>
      </c>
      <c r="B71" s="330"/>
      <c r="C71" s="305" t="s">
        <v>1565</v>
      </c>
      <c r="D71" s="301" t="s">
        <v>1566</v>
      </c>
      <c r="E71" s="301" t="s">
        <v>1493</v>
      </c>
      <c r="F71" s="29">
        <v>1</v>
      </c>
      <c r="G71" s="36" t="s">
        <v>1567</v>
      </c>
      <c r="H71" s="29" t="s">
        <v>1568</v>
      </c>
      <c r="I71" s="318" t="s">
        <v>1569</v>
      </c>
      <c r="J71" s="301" t="s">
        <v>1570</v>
      </c>
      <c r="K71" s="336" t="s">
        <v>992</v>
      </c>
      <c r="L71" s="301" t="s">
        <v>648</v>
      </c>
      <c r="M71" s="346" t="str">
        <f>HYPERLINK("D:\RaoVat_AutomationTesting\Screenshots\Pass_FA12.png", "Xem ảnh lỗi")</f>
        <v>Xem ảnh lỗi</v>
      </c>
    </row>
    <row r="72" spans="1:13" s="26" customFormat="1" ht="24.75" customHeight="1">
      <c r="A72" s="303"/>
      <c r="B72" s="330"/>
      <c r="C72" s="306"/>
      <c r="D72" s="303"/>
      <c r="E72" s="303"/>
      <c r="F72" s="29">
        <v>2</v>
      </c>
      <c r="G72" s="36" t="s">
        <v>1571</v>
      </c>
      <c r="H72" s="29"/>
      <c r="I72" s="332"/>
      <c r="J72" s="303"/>
      <c r="K72" s="352"/>
      <c r="L72" s="303"/>
      <c r="M72" s="303"/>
    </row>
    <row r="73" spans="1:13" s="26" customFormat="1" ht="24.75" customHeight="1">
      <c r="A73" s="302"/>
      <c r="B73" s="330"/>
      <c r="C73" s="307"/>
      <c r="D73" s="302"/>
      <c r="E73" s="302"/>
      <c r="F73" s="29">
        <v>3</v>
      </c>
      <c r="G73" s="36" t="s">
        <v>1507</v>
      </c>
      <c r="H73" s="29"/>
      <c r="I73" s="319"/>
      <c r="J73" s="302"/>
      <c r="K73" s="353"/>
      <c r="L73" s="302"/>
      <c r="M73" s="302"/>
    </row>
    <row r="74" spans="1:13" s="26" customFormat="1" ht="24.75" customHeight="1">
      <c r="A74" s="301">
        <v>31</v>
      </c>
      <c r="B74" s="330"/>
      <c r="C74" s="305" t="s">
        <v>1572</v>
      </c>
      <c r="D74" s="301" t="s">
        <v>1573</v>
      </c>
      <c r="E74" s="301" t="s">
        <v>1493</v>
      </c>
      <c r="F74" s="29">
        <v>1</v>
      </c>
      <c r="G74" s="36" t="s">
        <v>1574</v>
      </c>
      <c r="H74" s="29" t="s">
        <v>1568</v>
      </c>
      <c r="I74" s="318" t="s">
        <v>1575</v>
      </c>
      <c r="J74" s="301" t="s">
        <v>1576</v>
      </c>
      <c r="K74" s="336" t="s">
        <v>992</v>
      </c>
      <c r="L74" s="301" t="s">
        <v>648</v>
      </c>
      <c r="M74" s="346" t="str">
        <f>HYPERLINK("D:\RaoVat_AutomationTesting\Screenshots\Pass_FA13.png", "Xem ảnh lỗi")</f>
        <v>Xem ảnh lỗi</v>
      </c>
    </row>
    <row r="75" spans="1:13" s="26" customFormat="1" ht="24.75" customHeight="1">
      <c r="A75" s="303"/>
      <c r="B75" s="330"/>
      <c r="C75" s="306"/>
      <c r="D75" s="303"/>
      <c r="E75" s="303"/>
      <c r="F75" s="29">
        <v>2</v>
      </c>
      <c r="G75" s="36" t="s">
        <v>1577</v>
      </c>
      <c r="H75" s="29"/>
      <c r="I75" s="332"/>
      <c r="J75" s="303"/>
      <c r="K75" s="337"/>
      <c r="L75" s="303"/>
      <c r="M75" s="303"/>
    </row>
    <row r="76" spans="1:13" s="26" customFormat="1" ht="24.75" customHeight="1">
      <c r="A76" s="302"/>
      <c r="B76" s="330"/>
      <c r="C76" s="307"/>
      <c r="D76" s="302"/>
      <c r="E76" s="302"/>
      <c r="F76" s="29">
        <v>3</v>
      </c>
      <c r="G76" s="36" t="s">
        <v>1507</v>
      </c>
      <c r="H76" s="29"/>
      <c r="I76" s="319"/>
      <c r="J76" s="302"/>
      <c r="K76" s="338"/>
      <c r="L76" s="302"/>
      <c r="M76" s="302"/>
    </row>
    <row r="77" spans="1:13" s="26" customFormat="1" ht="24.75" customHeight="1">
      <c r="A77" s="301">
        <v>32</v>
      </c>
      <c r="B77" s="330"/>
      <c r="C77" s="305" t="s">
        <v>1578</v>
      </c>
      <c r="D77" s="301" t="s">
        <v>1579</v>
      </c>
      <c r="E77" s="301" t="s">
        <v>1493</v>
      </c>
      <c r="F77" s="29">
        <v>1</v>
      </c>
      <c r="G77" s="36" t="s">
        <v>1580</v>
      </c>
      <c r="H77" s="29" t="s">
        <v>1568</v>
      </c>
      <c r="I77" s="318" t="s">
        <v>1581</v>
      </c>
      <c r="J77" s="301" t="s">
        <v>1582</v>
      </c>
      <c r="K77" s="336" t="s">
        <v>992</v>
      </c>
      <c r="L77" s="301" t="s">
        <v>648</v>
      </c>
      <c r="M77" s="346" t="str">
        <f>HYPERLINK("D:\RaoVat_AutomationTesting\Screenshots\Pass_FA14.png", "Xem ảnh lỗi")</f>
        <v>Xem ảnh lỗi</v>
      </c>
    </row>
    <row r="78" spans="1:13" s="26" customFormat="1" ht="24.75" customHeight="1">
      <c r="A78" s="303"/>
      <c r="B78" s="330"/>
      <c r="C78" s="306"/>
      <c r="D78" s="303"/>
      <c r="E78" s="303"/>
      <c r="F78" s="29">
        <v>2</v>
      </c>
      <c r="G78" s="36" t="s">
        <v>1583</v>
      </c>
      <c r="H78" s="29"/>
      <c r="I78" s="332"/>
      <c r="J78" s="303"/>
      <c r="K78" s="303"/>
      <c r="L78" s="303"/>
      <c r="M78" s="303"/>
    </row>
    <row r="79" spans="1:13" s="26" customFormat="1" ht="24.75" customHeight="1" thickBot="1">
      <c r="A79" s="302"/>
      <c r="B79" s="330"/>
      <c r="C79" s="307"/>
      <c r="D79" s="302"/>
      <c r="E79" s="302"/>
      <c r="F79" s="29">
        <v>3</v>
      </c>
      <c r="G79" s="36" t="s">
        <v>1496</v>
      </c>
      <c r="H79" s="29"/>
      <c r="I79" s="319"/>
      <c r="J79" s="302"/>
      <c r="K79" s="302"/>
      <c r="L79" s="302"/>
      <c r="M79" s="302"/>
    </row>
    <row r="80" spans="1:13" s="26" customFormat="1" ht="24.75" customHeight="1">
      <c r="A80" s="301">
        <v>33</v>
      </c>
      <c r="B80" s="330"/>
      <c r="C80" s="305" t="s">
        <v>1584</v>
      </c>
      <c r="D80" s="301" t="s">
        <v>1585</v>
      </c>
      <c r="E80" s="301" t="s">
        <v>1493</v>
      </c>
      <c r="F80" s="29">
        <v>1</v>
      </c>
      <c r="G80" s="36" t="s">
        <v>1586</v>
      </c>
      <c r="H80" s="29" t="s">
        <v>1587</v>
      </c>
      <c r="I80" s="318" t="s">
        <v>1588</v>
      </c>
      <c r="J80" s="301" t="s">
        <v>1589</v>
      </c>
      <c r="K80" s="336" t="s">
        <v>992</v>
      </c>
      <c r="L80" s="237" t="s">
        <v>648</v>
      </c>
      <c r="M80" s="346" t="str">
        <f>HYPERLINK("D:\RaoVat_AutomationTesting\Screenshots\Pass_FA15.png", "Xem ảnh lỗi")</f>
        <v>Xem ảnh lỗi</v>
      </c>
    </row>
    <row r="81" spans="1:13" s="26" customFormat="1" ht="24.75" customHeight="1">
      <c r="A81" s="302"/>
      <c r="B81" s="330"/>
      <c r="C81" s="307"/>
      <c r="D81" s="302"/>
      <c r="E81" s="302"/>
      <c r="F81" s="29">
        <v>2</v>
      </c>
      <c r="G81" s="36" t="s">
        <v>1507</v>
      </c>
      <c r="H81" s="29"/>
      <c r="I81" s="319"/>
      <c r="J81" s="302"/>
      <c r="K81" s="302"/>
      <c r="L81" s="204"/>
      <c r="M81" s="302"/>
    </row>
    <row r="82" spans="1:13" s="26" customFormat="1" ht="24.75" customHeight="1">
      <c r="A82" s="301">
        <v>34</v>
      </c>
      <c r="B82" s="330"/>
      <c r="C82" s="305" t="s">
        <v>1590</v>
      </c>
      <c r="D82" s="301" t="s">
        <v>1591</v>
      </c>
      <c r="E82" s="301" t="s">
        <v>1493</v>
      </c>
      <c r="F82" s="29">
        <v>1</v>
      </c>
      <c r="G82" s="36" t="s">
        <v>1592</v>
      </c>
      <c r="H82" s="29" t="s">
        <v>1593</v>
      </c>
      <c r="I82" s="318" t="s">
        <v>1594</v>
      </c>
      <c r="J82" s="301"/>
      <c r="K82" s="301"/>
      <c r="L82" s="301"/>
      <c r="M82" s="301"/>
    </row>
    <row r="83" spans="1:13" s="26" customFormat="1" ht="24.75" customHeight="1" thickBot="1">
      <c r="A83" s="302"/>
      <c r="B83" s="330"/>
      <c r="C83" s="307"/>
      <c r="D83" s="302"/>
      <c r="E83" s="302"/>
      <c r="F83" s="29">
        <v>2</v>
      </c>
      <c r="G83" s="36" t="s">
        <v>1507</v>
      </c>
      <c r="H83" s="29"/>
      <c r="I83" s="319"/>
      <c r="J83" s="302"/>
      <c r="K83" s="302"/>
      <c r="L83" s="302"/>
      <c r="M83" s="302"/>
    </row>
    <row r="84" spans="1:13" s="26" customFormat="1" ht="38.25" customHeight="1">
      <c r="A84" s="301">
        <v>35</v>
      </c>
      <c r="B84" s="330"/>
      <c r="C84" s="305" t="s">
        <v>1595</v>
      </c>
      <c r="D84" s="301" t="s">
        <v>1596</v>
      </c>
      <c r="E84" s="301" t="s">
        <v>1597</v>
      </c>
      <c r="F84" s="29">
        <v>1</v>
      </c>
      <c r="G84" s="36" t="s">
        <v>1598</v>
      </c>
      <c r="H84" s="29" t="s">
        <v>1599</v>
      </c>
      <c r="I84" s="318" t="s">
        <v>1588</v>
      </c>
      <c r="J84" s="301" t="s">
        <v>1600</v>
      </c>
      <c r="K84" s="336" t="s">
        <v>992</v>
      </c>
      <c r="L84" s="237" t="s">
        <v>648</v>
      </c>
      <c r="M84" s="346" t="str">
        <f>HYPERLINK("D:\RaoVat_AutomationTesting\Screenshots\Pass_FA17.png", "Xem ảnh lỗi")</f>
        <v>Xem ảnh lỗi</v>
      </c>
    </row>
    <row r="85" spans="1:13" s="26" customFormat="1" ht="24.75" customHeight="1" thickBot="1">
      <c r="A85" s="302"/>
      <c r="B85" s="330"/>
      <c r="C85" s="307"/>
      <c r="D85" s="302"/>
      <c r="E85" s="302"/>
      <c r="F85" s="29">
        <v>2</v>
      </c>
      <c r="G85" s="36" t="s">
        <v>1601</v>
      </c>
      <c r="H85" s="29"/>
      <c r="I85" s="319"/>
      <c r="J85" s="302"/>
      <c r="K85" s="302"/>
      <c r="L85" s="204"/>
      <c r="M85" s="302"/>
    </row>
    <row r="86" spans="1:13" s="26" customFormat="1" ht="24.75" customHeight="1">
      <c r="A86" s="301">
        <v>36</v>
      </c>
      <c r="B86" s="330"/>
      <c r="C86" s="305" t="s">
        <v>1602</v>
      </c>
      <c r="D86" s="301" t="s">
        <v>1603</v>
      </c>
      <c r="E86" s="301" t="s">
        <v>1604</v>
      </c>
      <c r="F86" s="29">
        <v>1</v>
      </c>
      <c r="G86" s="36" t="s">
        <v>1605</v>
      </c>
      <c r="H86" s="29" t="s">
        <v>1599</v>
      </c>
      <c r="I86" s="318" t="s">
        <v>1594</v>
      </c>
      <c r="J86" s="301" t="s">
        <v>1606</v>
      </c>
      <c r="K86" s="336" t="s">
        <v>992</v>
      </c>
      <c r="L86" s="237" t="s">
        <v>648</v>
      </c>
      <c r="M86" s="346" t="str">
        <f>HYPERLINK("D:\RaoVat_AutomationTesting\Screenshots\Pass_FA18.png", "Xem ảnh lỗi")</f>
        <v>Xem ảnh lỗi</v>
      </c>
    </row>
    <row r="87" spans="1:13" s="26" customFormat="1" ht="24.75" customHeight="1" thickBot="1">
      <c r="A87" s="302"/>
      <c r="B87" s="330"/>
      <c r="C87" s="307"/>
      <c r="D87" s="302"/>
      <c r="E87" s="302"/>
      <c r="F87" s="29">
        <v>2</v>
      </c>
      <c r="G87" s="36" t="s">
        <v>1607</v>
      </c>
      <c r="H87" s="29"/>
      <c r="I87" s="319"/>
      <c r="J87" s="302"/>
      <c r="K87" s="302"/>
      <c r="L87" s="204"/>
      <c r="M87" s="302"/>
    </row>
    <row r="88" spans="1:13" s="26" customFormat="1" ht="24.75" customHeight="1">
      <c r="A88" s="301">
        <v>37</v>
      </c>
      <c r="B88" s="330"/>
      <c r="C88" s="305" t="s">
        <v>1608</v>
      </c>
      <c r="D88" s="301" t="s">
        <v>1609</v>
      </c>
      <c r="E88" s="301" t="s">
        <v>1493</v>
      </c>
      <c r="F88" s="29">
        <v>1</v>
      </c>
      <c r="G88" s="36" t="s">
        <v>1610</v>
      </c>
      <c r="H88" s="29" t="s">
        <v>1611</v>
      </c>
      <c r="I88" s="318" t="s">
        <v>1588</v>
      </c>
      <c r="J88" s="301" t="s">
        <v>1504</v>
      </c>
      <c r="K88" s="336" t="s">
        <v>992</v>
      </c>
      <c r="L88" s="237" t="s">
        <v>648</v>
      </c>
      <c r="M88" s="346" t="str">
        <f>HYPERLINK("D:\RaoVat_AutomationTesting\Screenshots\Pass_FA19.png", "Xem ảnh lỗi")</f>
        <v>Xem ảnh lỗi</v>
      </c>
    </row>
    <row r="89" spans="1:13" s="26" customFormat="1" ht="24.75" customHeight="1">
      <c r="A89" s="302"/>
      <c r="B89" s="331"/>
      <c r="C89" s="307"/>
      <c r="D89" s="302"/>
      <c r="E89" s="302"/>
      <c r="F89" s="29">
        <v>2</v>
      </c>
      <c r="G89" s="36" t="s">
        <v>1612</v>
      </c>
      <c r="H89" s="29"/>
      <c r="I89" s="319"/>
      <c r="J89" s="302"/>
      <c r="K89" s="302"/>
      <c r="L89" s="204"/>
      <c r="M89" s="302"/>
    </row>
  </sheetData>
  <mergeCells count="340">
    <mergeCell ref="M82:M83"/>
    <mergeCell ref="L84:L85"/>
    <mergeCell ref="M84:M85"/>
    <mergeCell ref="J84:J85"/>
    <mergeCell ref="K84:K85"/>
    <mergeCell ref="M86:M87"/>
    <mergeCell ref="J88:J89"/>
    <mergeCell ref="K88:K89"/>
    <mergeCell ref="L88:L89"/>
    <mergeCell ref="M88:M89"/>
    <mergeCell ref="J86:J87"/>
    <mergeCell ref="K86:K87"/>
    <mergeCell ref="L86:L87"/>
    <mergeCell ref="M77:M79"/>
    <mergeCell ref="J80:J81"/>
    <mergeCell ref="K80:K81"/>
    <mergeCell ref="L80:L81"/>
    <mergeCell ref="M80:M81"/>
    <mergeCell ref="J77:J79"/>
    <mergeCell ref="K77:K79"/>
    <mergeCell ref="L77:L79"/>
    <mergeCell ref="M68:M70"/>
    <mergeCell ref="J71:J73"/>
    <mergeCell ref="K71:K73"/>
    <mergeCell ref="L71:L73"/>
    <mergeCell ref="M71:M73"/>
    <mergeCell ref="M74:M76"/>
    <mergeCell ref="J60:J62"/>
    <mergeCell ref="K60:K62"/>
    <mergeCell ref="L60:L62"/>
    <mergeCell ref="M60:M62"/>
    <mergeCell ref="J63:J64"/>
    <mergeCell ref="K63:K64"/>
    <mergeCell ref="L63:L64"/>
    <mergeCell ref="M63:M64"/>
    <mergeCell ref="J65:J67"/>
    <mergeCell ref="K65:K67"/>
    <mergeCell ref="L65:L67"/>
    <mergeCell ref="M65:M67"/>
    <mergeCell ref="J68:J70"/>
    <mergeCell ref="K68:K70"/>
    <mergeCell ref="L68:L70"/>
    <mergeCell ref="M52:M54"/>
    <mergeCell ref="J55:J57"/>
    <mergeCell ref="K55:K57"/>
    <mergeCell ref="L55:L57"/>
    <mergeCell ref="M55:M57"/>
    <mergeCell ref="M58:M59"/>
    <mergeCell ref="J44:J46"/>
    <mergeCell ref="K44:K46"/>
    <mergeCell ref="L44:L46"/>
    <mergeCell ref="M44:M46"/>
    <mergeCell ref="J47:J48"/>
    <mergeCell ref="K47:K48"/>
    <mergeCell ref="L47:L48"/>
    <mergeCell ref="M47:M48"/>
    <mergeCell ref="J49:J51"/>
    <mergeCell ref="K49:K51"/>
    <mergeCell ref="L49:L51"/>
    <mergeCell ref="M49:M51"/>
    <mergeCell ref="J52:J54"/>
    <mergeCell ref="K52:K54"/>
    <mergeCell ref="L52:L54"/>
    <mergeCell ref="L39:L40"/>
    <mergeCell ref="M39:M40"/>
    <mergeCell ref="J37:J38"/>
    <mergeCell ref="J41:J43"/>
    <mergeCell ref="K41:K43"/>
    <mergeCell ref="L41:L43"/>
    <mergeCell ref="L74:L76"/>
    <mergeCell ref="J82:J83"/>
    <mergeCell ref="K82:K83"/>
    <mergeCell ref="L82:L83"/>
    <mergeCell ref="M29:M30"/>
    <mergeCell ref="M35:M36"/>
    <mergeCell ref="M31:M32"/>
    <mergeCell ref="L33:L34"/>
    <mergeCell ref="M33:M34"/>
    <mergeCell ref="K33:K34"/>
    <mergeCell ref="K35:K36"/>
    <mergeCell ref="M41:M43"/>
    <mergeCell ref="J39:J40"/>
    <mergeCell ref="K37:K38"/>
    <mergeCell ref="L37:L38"/>
    <mergeCell ref="M37:M38"/>
    <mergeCell ref="I88:I89"/>
    <mergeCell ref="K3:K4"/>
    <mergeCell ref="L3:L4"/>
    <mergeCell ref="K9:K10"/>
    <mergeCell ref="L9:L10"/>
    <mergeCell ref="K15:K16"/>
    <mergeCell ref="L15:L16"/>
    <mergeCell ref="I58:I59"/>
    <mergeCell ref="I3:I4"/>
    <mergeCell ref="J3:J4"/>
    <mergeCell ref="J5:J6"/>
    <mergeCell ref="J7:J8"/>
    <mergeCell ref="J9:J10"/>
    <mergeCell ref="J11:J12"/>
    <mergeCell ref="J31:J32"/>
    <mergeCell ref="J33:J34"/>
    <mergeCell ref="I37:I38"/>
    <mergeCell ref="J25:J26"/>
    <mergeCell ref="J27:J28"/>
    <mergeCell ref="J29:J30"/>
    <mergeCell ref="L58:L59"/>
    <mergeCell ref="J35:J36"/>
    <mergeCell ref="L35:L36"/>
    <mergeCell ref="K29:K30"/>
    <mergeCell ref="L29:L30"/>
    <mergeCell ref="K31:K32"/>
    <mergeCell ref="L31:L32"/>
    <mergeCell ref="K25:K26"/>
    <mergeCell ref="L25:L26"/>
    <mergeCell ref="K27:K28"/>
    <mergeCell ref="L27:L28"/>
    <mergeCell ref="K39:K40"/>
    <mergeCell ref="J58:J59"/>
    <mergeCell ref="K58:K59"/>
    <mergeCell ref="J74:J76"/>
    <mergeCell ref="I47:I48"/>
    <mergeCell ref="I49:I51"/>
    <mergeCell ref="I52:I54"/>
    <mergeCell ref="I55:I57"/>
    <mergeCell ref="K74:K76"/>
    <mergeCell ref="I60:I62"/>
    <mergeCell ref="I63:I64"/>
    <mergeCell ref="I65:I67"/>
    <mergeCell ref="I71:I73"/>
    <mergeCell ref="I68:I70"/>
    <mergeCell ref="I84:I85"/>
    <mergeCell ref="I86:I87"/>
    <mergeCell ref="I74:I76"/>
    <mergeCell ref="I77:I79"/>
    <mergeCell ref="I80:I81"/>
    <mergeCell ref="I82:I83"/>
    <mergeCell ref="A23:A24"/>
    <mergeCell ref="C5:C6"/>
    <mergeCell ref="M9:M10"/>
    <mergeCell ref="K11:K12"/>
    <mergeCell ref="L11:L12"/>
    <mergeCell ref="M11:M12"/>
    <mergeCell ref="K13:K14"/>
    <mergeCell ref="L13:L14"/>
    <mergeCell ref="M13:M14"/>
    <mergeCell ref="L17:L20"/>
    <mergeCell ref="J17:J20"/>
    <mergeCell ref="M17:M20"/>
    <mergeCell ref="M21:M22"/>
    <mergeCell ref="K17:K20"/>
    <mergeCell ref="M23:M24"/>
    <mergeCell ref="D11:D12"/>
    <mergeCell ref="A9:A10"/>
    <mergeCell ref="A7:A8"/>
    <mergeCell ref="A5:A6"/>
    <mergeCell ref="D9:D10"/>
    <mergeCell ref="C3:C4"/>
    <mergeCell ref="M3:M4"/>
    <mergeCell ref="K5:K6"/>
    <mergeCell ref="L5:L6"/>
    <mergeCell ref="K1:K2"/>
    <mergeCell ref="C7:C8"/>
    <mergeCell ref="I5:I6"/>
    <mergeCell ref="I7:I8"/>
    <mergeCell ref="D5:D6"/>
    <mergeCell ref="L1:L2"/>
    <mergeCell ref="A2:J2"/>
    <mergeCell ref="B3:B24"/>
    <mergeCell ref="A3:A4"/>
    <mergeCell ref="A17:A20"/>
    <mergeCell ref="A15:A16"/>
    <mergeCell ref="A13:A14"/>
    <mergeCell ref="A11:A12"/>
    <mergeCell ref="D3:D4"/>
    <mergeCell ref="D15:D16"/>
    <mergeCell ref="E3:E4"/>
    <mergeCell ref="E5:E6"/>
    <mergeCell ref="D7:D8"/>
    <mergeCell ref="E7:E8"/>
    <mergeCell ref="E9:E10"/>
    <mergeCell ref="E11:E12"/>
    <mergeCell ref="E13:E14"/>
    <mergeCell ref="E15:E16"/>
    <mergeCell ref="D13:D14"/>
    <mergeCell ref="M1:M2"/>
    <mergeCell ref="A84:A85"/>
    <mergeCell ref="A86:A87"/>
    <mergeCell ref="J15:J16"/>
    <mergeCell ref="A21:A22"/>
    <mergeCell ref="C25:C26"/>
    <mergeCell ref="C49:C51"/>
    <mergeCell ref="A35:A36"/>
    <mergeCell ref="A37:A38"/>
    <mergeCell ref="A39:A40"/>
    <mergeCell ref="B25:B40"/>
    <mergeCell ref="A25:A26"/>
    <mergeCell ref="A27:A28"/>
    <mergeCell ref="A29:A30"/>
    <mergeCell ref="A31:A32"/>
    <mergeCell ref="C13:C14"/>
    <mergeCell ref="I44:I46"/>
    <mergeCell ref="C9:C10"/>
    <mergeCell ref="D21:D22"/>
    <mergeCell ref="D23:D24"/>
    <mergeCell ref="E21:E22"/>
    <mergeCell ref="E23:E24"/>
    <mergeCell ref="C15:C16"/>
    <mergeCell ref="I11:I12"/>
    <mergeCell ref="I9:I10"/>
    <mergeCell ref="I13:I14"/>
    <mergeCell ref="C11:C12"/>
    <mergeCell ref="I35:I36"/>
    <mergeCell ref="I29:I30"/>
    <mergeCell ref="I27:I28"/>
    <mergeCell ref="I25:I26"/>
    <mergeCell ref="I39:I40"/>
    <mergeCell ref="M5:M6"/>
    <mergeCell ref="K7:K8"/>
    <mergeCell ref="L7:L8"/>
    <mergeCell ref="M7:M8"/>
    <mergeCell ref="C31:C32"/>
    <mergeCell ref="J13:J14"/>
    <mergeCell ref="J21:J22"/>
    <mergeCell ref="J23:J24"/>
    <mergeCell ref="K21:K22"/>
    <mergeCell ref="L21:L22"/>
    <mergeCell ref="K23:K24"/>
    <mergeCell ref="L23:L24"/>
    <mergeCell ref="M25:M26"/>
    <mergeCell ref="M27:M28"/>
    <mergeCell ref="C58:C59"/>
    <mergeCell ref="C55:C57"/>
    <mergeCell ref="C60:C62"/>
    <mergeCell ref="A33:A34"/>
    <mergeCell ref="A55:A57"/>
    <mergeCell ref="A58:A59"/>
    <mergeCell ref="B41:B89"/>
    <mergeCell ref="A41:A43"/>
    <mergeCell ref="A88:A89"/>
    <mergeCell ref="A77:A79"/>
    <mergeCell ref="A80:A81"/>
    <mergeCell ref="A82:A83"/>
    <mergeCell ref="M15:M16"/>
    <mergeCell ref="A52:A54"/>
    <mergeCell ref="E74:E76"/>
    <mergeCell ref="C68:C70"/>
    <mergeCell ref="D68:D70"/>
    <mergeCell ref="C74:C76"/>
    <mergeCell ref="D74:D76"/>
    <mergeCell ref="E68:E70"/>
    <mergeCell ref="C71:C73"/>
    <mergeCell ref="D71:D73"/>
    <mergeCell ref="E71:E73"/>
    <mergeCell ref="A68:A70"/>
    <mergeCell ref="E88:E89"/>
    <mergeCell ref="C82:C83"/>
    <mergeCell ref="D82:D83"/>
    <mergeCell ref="E82:E83"/>
    <mergeCell ref="C84:C85"/>
    <mergeCell ref="D84:D85"/>
    <mergeCell ref="E84:E85"/>
    <mergeCell ref="E86:E87"/>
    <mergeCell ref="C88:C89"/>
    <mergeCell ref="D88:D89"/>
    <mergeCell ref="C86:C87"/>
    <mergeCell ref="D86:D87"/>
    <mergeCell ref="A60:A62"/>
    <mergeCell ref="A63:A64"/>
    <mergeCell ref="A65:A67"/>
    <mergeCell ref="D80:D81"/>
    <mergeCell ref="E80:E81"/>
    <mergeCell ref="C80:C81"/>
    <mergeCell ref="A74:A76"/>
    <mergeCell ref="C65:C67"/>
    <mergeCell ref="E77:E79"/>
    <mergeCell ref="C77:C79"/>
    <mergeCell ref="C63:C64"/>
    <mergeCell ref="A71:A73"/>
    <mergeCell ref="I33:I34"/>
    <mergeCell ref="C17:C20"/>
    <mergeCell ref="C33:C34"/>
    <mergeCell ref="D27:D28"/>
    <mergeCell ref="D29:D30"/>
    <mergeCell ref="D31:D32"/>
    <mergeCell ref="C27:C28"/>
    <mergeCell ref="D25:D26"/>
    <mergeCell ref="D33:D34"/>
    <mergeCell ref="C29:C30"/>
    <mergeCell ref="C21:C22"/>
    <mergeCell ref="C23:C24"/>
    <mergeCell ref="C52:C54"/>
    <mergeCell ref="I15:I16"/>
    <mergeCell ref="I17:I20"/>
    <mergeCell ref="I23:I24"/>
    <mergeCell ref="I21:I22"/>
    <mergeCell ref="D52:D54"/>
    <mergeCell ref="I31:I32"/>
    <mergeCell ref="E25:E26"/>
    <mergeCell ref="E27:E28"/>
    <mergeCell ref="E31:E32"/>
    <mergeCell ref="E33:E34"/>
    <mergeCell ref="E35:E36"/>
    <mergeCell ref="D35:D36"/>
    <mergeCell ref="D37:D38"/>
    <mergeCell ref="D39:D40"/>
    <mergeCell ref="I41:I42"/>
    <mergeCell ref="D77:D79"/>
    <mergeCell ref="E44:E46"/>
    <mergeCell ref="E55:E57"/>
    <mergeCell ref="D58:D59"/>
    <mergeCell ref="E58:E59"/>
    <mergeCell ref="D55:D57"/>
    <mergeCell ref="E49:E51"/>
    <mergeCell ref="E52:E54"/>
    <mergeCell ref="E65:E67"/>
    <mergeCell ref="E63:E64"/>
    <mergeCell ref="D60:D62"/>
    <mergeCell ref="D63:D64"/>
    <mergeCell ref="D65:D67"/>
    <mergeCell ref="E60:E62"/>
    <mergeCell ref="A47:A48"/>
    <mergeCell ref="A49:A51"/>
    <mergeCell ref="E37:E38"/>
    <mergeCell ref="E39:E40"/>
    <mergeCell ref="E41:E43"/>
    <mergeCell ref="E47:E48"/>
    <mergeCell ref="C41:C43"/>
    <mergeCell ref="D41:D43"/>
    <mergeCell ref="D49:D51"/>
    <mergeCell ref="C39:C40"/>
    <mergeCell ref="C37:C38"/>
    <mergeCell ref="C44:C46"/>
    <mergeCell ref="D44:D46"/>
    <mergeCell ref="C47:C48"/>
    <mergeCell ref="A44:A46"/>
    <mergeCell ref="E29:E30"/>
    <mergeCell ref="D47:D48"/>
    <mergeCell ref="C35:C36"/>
    <mergeCell ref="E17:E20"/>
    <mergeCell ref="D17:D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B1F0-ABB8-4E23-8F14-0A78B99350B1}">
  <dimension ref="A1:M103"/>
  <sheetViews>
    <sheetView topLeftCell="H1" workbookViewId="0">
      <selection activeCell="K23" sqref="K23:K24"/>
    </sheetView>
  </sheetViews>
  <sheetFormatPr defaultRowHeight="15"/>
  <cols>
    <col min="1" max="3" width="18" customWidth="1"/>
    <col min="4" max="4" width="31.28515625" bestFit="1" customWidth="1"/>
    <col min="5" max="5" width="36.28515625" bestFit="1" customWidth="1"/>
    <col min="6" max="6" width="18" customWidth="1"/>
    <col min="7" max="7" width="55" bestFit="1" customWidth="1"/>
    <col min="8" max="8" width="29.85546875" bestFit="1" customWidth="1"/>
    <col min="9" max="10" width="92.85546875" customWidth="1"/>
    <col min="11" max="13" width="18" customWidth="1"/>
  </cols>
  <sheetData>
    <row r="1" spans="1:13" ht="28.5">
      <c r="A1" s="17" t="s">
        <v>222</v>
      </c>
      <c r="B1" s="18" t="s">
        <v>62</v>
      </c>
      <c r="C1" s="19" t="s">
        <v>480</v>
      </c>
      <c r="D1" s="19" t="s">
        <v>481</v>
      </c>
      <c r="E1" s="19" t="s">
        <v>639</v>
      </c>
      <c r="F1" s="20" t="s">
        <v>483</v>
      </c>
      <c r="G1" s="19" t="s">
        <v>484</v>
      </c>
      <c r="H1" s="19" t="s">
        <v>485</v>
      </c>
      <c r="I1" s="19" t="s">
        <v>486</v>
      </c>
      <c r="J1" s="21" t="s">
        <v>640</v>
      </c>
      <c r="K1" s="217" t="s">
        <v>488</v>
      </c>
      <c r="L1" s="209" t="s">
        <v>489</v>
      </c>
      <c r="M1" s="211" t="s">
        <v>69</v>
      </c>
    </row>
    <row r="2" spans="1:13" ht="20.25">
      <c r="A2" s="213" t="s">
        <v>47</v>
      </c>
      <c r="B2" s="214"/>
      <c r="C2" s="214"/>
      <c r="D2" s="214"/>
      <c r="E2" s="214"/>
      <c r="F2" s="214"/>
      <c r="G2" s="214"/>
      <c r="H2" s="214"/>
      <c r="I2" s="214"/>
      <c r="J2" s="215"/>
      <c r="K2" s="359"/>
      <c r="L2" s="360"/>
      <c r="M2" s="361"/>
    </row>
    <row r="3" spans="1:13" ht="15" customHeight="1">
      <c r="A3" s="179">
        <v>1</v>
      </c>
      <c r="B3" s="205" t="s">
        <v>1613</v>
      </c>
      <c r="C3" s="197" t="s">
        <v>1614</v>
      </c>
      <c r="D3" s="179" t="s">
        <v>1615</v>
      </c>
      <c r="E3" s="179" t="s">
        <v>1616</v>
      </c>
      <c r="F3" s="89">
        <v>1</v>
      </c>
      <c r="G3" s="89" t="s">
        <v>1617</v>
      </c>
      <c r="H3" s="89"/>
      <c r="I3" s="179" t="s">
        <v>1618</v>
      </c>
      <c r="J3" s="237" t="s">
        <v>1618</v>
      </c>
      <c r="K3" s="357" t="s">
        <v>992</v>
      </c>
      <c r="L3" s="179" t="s">
        <v>1619</v>
      </c>
      <c r="M3" s="362" t="str">
        <f>HYPERLINK("D:\RaoVat_AutomationTesting\Screenshots\Fail_C01.png", "Xem ảnh lỗi")</f>
        <v>Xem ảnh lỗi</v>
      </c>
    </row>
    <row r="4" spans="1:13">
      <c r="A4" s="179"/>
      <c r="B4" s="206"/>
      <c r="C4" s="197"/>
      <c r="D4" s="179"/>
      <c r="E4" s="179"/>
      <c r="F4" s="89">
        <v>2</v>
      </c>
      <c r="G4" s="89" t="s">
        <v>1620</v>
      </c>
      <c r="H4" s="89"/>
      <c r="I4" s="179"/>
      <c r="J4" s="204"/>
      <c r="K4" s="179"/>
      <c r="L4" s="179"/>
      <c r="M4" s="179"/>
    </row>
    <row r="5" spans="1:13">
      <c r="A5" s="179">
        <v>2</v>
      </c>
      <c r="B5" s="206"/>
      <c r="C5" s="197" t="s">
        <v>1621</v>
      </c>
      <c r="D5" s="179" t="s">
        <v>1622</v>
      </c>
      <c r="E5" s="179" t="s">
        <v>1623</v>
      </c>
      <c r="F5" s="89">
        <v>1</v>
      </c>
      <c r="G5" s="89" t="s">
        <v>1624</v>
      </c>
      <c r="H5" s="89" t="s">
        <v>60</v>
      </c>
      <c r="I5" s="179" t="s">
        <v>1625</v>
      </c>
      <c r="J5" s="234" t="s">
        <v>1618</v>
      </c>
      <c r="K5" s="357" t="s">
        <v>992</v>
      </c>
      <c r="L5" s="179" t="s">
        <v>1619</v>
      </c>
      <c r="M5" s="179"/>
    </row>
    <row r="6" spans="1:13">
      <c r="A6" s="179"/>
      <c r="B6" s="206"/>
      <c r="C6" s="197"/>
      <c r="D6" s="179"/>
      <c r="E6" s="179"/>
      <c r="F6" s="89">
        <v>2</v>
      </c>
      <c r="G6" s="89" t="s">
        <v>1626</v>
      </c>
      <c r="H6" s="89"/>
      <c r="I6" s="179"/>
      <c r="J6" s="179"/>
      <c r="K6" s="179"/>
      <c r="L6" s="179"/>
      <c r="M6" s="179"/>
    </row>
    <row r="7" spans="1:13">
      <c r="A7" s="179">
        <v>3</v>
      </c>
      <c r="B7" s="206"/>
      <c r="C7" s="197" t="s">
        <v>1627</v>
      </c>
      <c r="D7" s="179" t="s">
        <v>1628</v>
      </c>
      <c r="E7" s="179" t="s">
        <v>1623</v>
      </c>
      <c r="F7" s="89">
        <v>1</v>
      </c>
      <c r="G7" s="89" t="s">
        <v>1629</v>
      </c>
      <c r="H7" s="89" t="s">
        <v>1630</v>
      </c>
      <c r="I7" s="179" t="s">
        <v>1631</v>
      </c>
      <c r="J7" s="234" t="s">
        <v>1632</v>
      </c>
      <c r="K7" s="357" t="s">
        <v>992</v>
      </c>
      <c r="L7" s="179" t="s">
        <v>1619</v>
      </c>
      <c r="M7" s="179"/>
    </row>
    <row r="8" spans="1:13">
      <c r="A8" s="179"/>
      <c r="B8" s="206"/>
      <c r="C8" s="197"/>
      <c r="D8" s="179"/>
      <c r="E8" s="179"/>
      <c r="F8" s="89">
        <v>2</v>
      </c>
      <c r="G8" s="89" t="s">
        <v>1626</v>
      </c>
      <c r="H8" s="89"/>
      <c r="I8" s="179"/>
      <c r="J8" s="179"/>
      <c r="K8" s="179"/>
      <c r="L8" s="179"/>
      <c r="M8" s="179"/>
    </row>
    <row r="9" spans="1:13">
      <c r="A9" s="179">
        <v>4</v>
      </c>
      <c r="B9" s="206"/>
      <c r="C9" s="197" t="s">
        <v>1633</v>
      </c>
      <c r="D9" s="179" t="s">
        <v>1634</v>
      </c>
      <c r="E9" s="179" t="s">
        <v>1623</v>
      </c>
      <c r="F9" s="89">
        <v>1</v>
      </c>
      <c r="G9" s="89" t="s">
        <v>1635</v>
      </c>
      <c r="H9" s="89" t="s">
        <v>1636</v>
      </c>
      <c r="I9" s="179" t="s">
        <v>1631</v>
      </c>
      <c r="J9" s="234" t="s">
        <v>1632</v>
      </c>
      <c r="K9" s="357" t="s">
        <v>992</v>
      </c>
      <c r="L9" s="179" t="s">
        <v>1619</v>
      </c>
      <c r="M9" s="179"/>
    </row>
    <row r="10" spans="1:13">
      <c r="A10" s="179"/>
      <c r="B10" s="206"/>
      <c r="C10" s="197"/>
      <c r="D10" s="179"/>
      <c r="E10" s="179"/>
      <c r="F10" s="89">
        <v>2</v>
      </c>
      <c r="G10" s="89" t="s">
        <v>1626</v>
      </c>
      <c r="H10" s="89"/>
      <c r="I10" s="179"/>
      <c r="J10" s="179"/>
      <c r="K10" s="179"/>
      <c r="L10" s="179"/>
      <c r="M10" s="179"/>
    </row>
    <row r="11" spans="1:13">
      <c r="A11" s="179">
        <v>5</v>
      </c>
      <c r="B11" s="206"/>
      <c r="C11" s="197" t="s">
        <v>1637</v>
      </c>
      <c r="D11" s="179" t="s">
        <v>1638</v>
      </c>
      <c r="E11" s="179" t="s">
        <v>1623</v>
      </c>
      <c r="F11" s="89">
        <v>1</v>
      </c>
      <c r="G11" s="89" t="s">
        <v>1639</v>
      </c>
      <c r="H11" s="89" t="s">
        <v>1640</v>
      </c>
      <c r="I11" s="179" t="s">
        <v>1641</v>
      </c>
      <c r="J11" s="234" t="s">
        <v>1632</v>
      </c>
      <c r="K11" s="357" t="s">
        <v>992</v>
      </c>
      <c r="L11" s="179" t="s">
        <v>1619</v>
      </c>
      <c r="M11" s="179"/>
    </row>
    <row r="12" spans="1:13">
      <c r="A12" s="179"/>
      <c r="B12" s="206"/>
      <c r="C12" s="197"/>
      <c r="D12" s="179"/>
      <c r="E12" s="179"/>
      <c r="F12" s="89">
        <v>2</v>
      </c>
      <c r="G12" s="89" t="s">
        <v>1626</v>
      </c>
      <c r="H12" s="89"/>
      <c r="I12" s="179"/>
      <c r="J12" s="179"/>
      <c r="K12" s="179"/>
      <c r="L12" s="179"/>
      <c r="M12" s="179"/>
    </row>
    <row r="13" spans="1:13">
      <c r="A13" s="179">
        <v>6</v>
      </c>
      <c r="B13" s="206"/>
      <c r="C13" s="197" t="s">
        <v>1642</v>
      </c>
      <c r="D13" s="179" t="s">
        <v>1643</v>
      </c>
      <c r="E13" s="179" t="s">
        <v>1623</v>
      </c>
      <c r="F13" s="89">
        <v>1</v>
      </c>
      <c r="G13" s="89" t="s">
        <v>1644</v>
      </c>
      <c r="H13" s="89" t="s">
        <v>1645</v>
      </c>
      <c r="I13" s="179" t="s">
        <v>1646</v>
      </c>
      <c r="J13" s="234" t="s">
        <v>1647</v>
      </c>
      <c r="K13" s="364" t="s">
        <v>497</v>
      </c>
      <c r="L13" s="179" t="s">
        <v>1619</v>
      </c>
      <c r="M13" s="355" t="str">
        <f>HYPERLINK("D:\RaoVat_AutomationTesting\Screenshots\Fail_C06.png", "Xem ảnh lỗi")</f>
        <v>Xem ảnh lỗi</v>
      </c>
    </row>
    <row r="14" spans="1:13">
      <c r="A14" s="179"/>
      <c r="B14" s="206"/>
      <c r="C14" s="197"/>
      <c r="D14" s="179"/>
      <c r="E14" s="179"/>
      <c r="F14" s="89">
        <v>2</v>
      </c>
      <c r="G14" s="89" t="s">
        <v>1626</v>
      </c>
      <c r="H14" s="89"/>
      <c r="I14" s="179"/>
      <c r="J14" s="179"/>
      <c r="K14" s="179"/>
      <c r="L14" s="179"/>
      <c r="M14" s="179"/>
    </row>
    <row r="15" spans="1:13">
      <c r="A15" s="179">
        <v>7</v>
      </c>
      <c r="B15" s="206"/>
      <c r="C15" s="197" t="s">
        <v>1648</v>
      </c>
      <c r="D15" s="179" t="s">
        <v>1649</v>
      </c>
      <c r="E15" s="179" t="s">
        <v>1623</v>
      </c>
      <c r="F15" s="89">
        <v>1</v>
      </c>
      <c r="G15" s="89" t="s">
        <v>1650</v>
      </c>
      <c r="H15" s="89" t="s">
        <v>1651</v>
      </c>
      <c r="I15" s="179" t="s">
        <v>1652</v>
      </c>
      <c r="J15" s="234" t="s">
        <v>1632</v>
      </c>
      <c r="K15" s="357" t="s">
        <v>992</v>
      </c>
      <c r="L15" s="179" t="s">
        <v>1619</v>
      </c>
      <c r="M15" s="179"/>
    </row>
    <row r="16" spans="1:13">
      <c r="A16" s="179"/>
      <c r="B16" s="206"/>
      <c r="C16" s="197"/>
      <c r="D16" s="179"/>
      <c r="E16" s="179"/>
      <c r="F16" s="89">
        <v>2</v>
      </c>
      <c r="G16" s="89" t="s">
        <v>1626</v>
      </c>
      <c r="H16" s="89"/>
      <c r="I16" s="179"/>
      <c r="J16" s="179"/>
      <c r="K16" s="179"/>
      <c r="L16" s="179"/>
      <c r="M16" s="179"/>
    </row>
    <row r="17" spans="1:13">
      <c r="A17" s="179">
        <v>8</v>
      </c>
      <c r="B17" s="206"/>
      <c r="C17" s="197" t="s">
        <v>1653</v>
      </c>
      <c r="D17" s="179" t="s">
        <v>1654</v>
      </c>
      <c r="E17" s="179" t="s">
        <v>1623</v>
      </c>
      <c r="F17" s="89">
        <v>1</v>
      </c>
      <c r="G17" s="89" t="s">
        <v>1655</v>
      </c>
      <c r="H17" s="97" t="s">
        <v>1656</v>
      </c>
      <c r="I17" s="179" t="s">
        <v>1657</v>
      </c>
      <c r="J17" s="234" t="s">
        <v>1632</v>
      </c>
      <c r="K17" s="357" t="s">
        <v>992</v>
      </c>
      <c r="L17" s="179" t="s">
        <v>1619</v>
      </c>
      <c r="M17" s="179"/>
    </row>
    <row r="18" spans="1:13">
      <c r="A18" s="179"/>
      <c r="B18" s="206"/>
      <c r="C18" s="197"/>
      <c r="D18" s="179"/>
      <c r="E18" s="179"/>
      <c r="F18" s="89">
        <v>2</v>
      </c>
      <c r="G18" s="89" t="s">
        <v>1626</v>
      </c>
      <c r="H18" s="89"/>
      <c r="I18" s="179"/>
      <c r="J18" s="179"/>
      <c r="K18" s="179"/>
      <c r="L18" s="179"/>
      <c r="M18" s="179"/>
    </row>
    <row r="19" spans="1:13">
      <c r="A19" s="179">
        <v>9</v>
      </c>
      <c r="B19" s="206"/>
      <c r="C19" s="197" t="s">
        <v>1658</v>
      </c>
      <c r="D19" s="179" t="s">
        <v>1659</v>
      </c>
      <c r="E19" s="179" t="s">
        <v>1623</v>
      </c>
      <c r="F19" s="89">
        <v>1</v>
      </c>
      <c r="G19" s="89" t="s">
        <v>1660</v>
      </c>
      <c r="H19" s="89" t="s">
        <v>1661</v>
      </c>
      <c r="I19" s="179" t="s">
        <v>1662</v>
      </c>
      <c r="J19" s="234" t="s">
        <v>1632</v>
      </c>
      <c r="K19" s="357" t="s">
        <v>992</v>
      </c>
      <c r="L19" s="179" t="s">
        <v>1619</v>
      </c>
      <c r="M19" s="179"/>
    </row>
    <row r="20" spans="1:13">
      <c r="A20" s="179"/>
      <c r="B20" s="206"/>
      <c r="C20" s="197"/>
      <c r="D20" s="179"/>
      <c r="E20" s="179"/>
      <c r="F20" s="89">
        <v>2</v>
      </c>
      <c r="G20" s="89" t="s">
        <v>1626</v>
      </c>
      <c r="H20" s="89"/>
      <c r="I20" s="179"/>
      <c r="J20" s="179"/>
      <c r="K20" s="179"/>
      <c r="L20" s="179"/>
      <c r="M20" s="179"/>
    </row>
    <row r="21" spans="1:13">
      <c r="A21" s="179">
        <v>10</v>
      </c>
      <c r="B21" s="206"/>
      <c r="C21" s="197" t="s">
        <v>1663</v>
      </c>
      <c r="D21" s="179" t="s">
        <v>1664</v>
      </c>
      <c r="E21" s="179" t="s">
        <v>1665</v>
      </c>
      <c r="F21" s="89">
        <v>1</v>
      </c>
      <c r="G21" s="89" t="s">
        <v>1666</v>
      </c>
      <c r="H21" s="89"/>
      <c r="I21" s="179" t="s">
        <v>1667</v>
      </c>
      <c r="J21" s="234" t="s">
        <v>1668</v>
      </c>
      <c r="K21" s="357" t="s">
        <v>992</v>
      </c>
      <c r="L21" s="179" t="s">
        <v>1619</v>
      </c>
      <c r="M21" s="358"/>
    </row>
    <row r="22" spans="1:13">
      <c r="A22" s="179"/>
      <c r="B22" s="206"/>
      <c r="C22" s="197"/>
      <c r="D22" s="179"/>
      <c r="E22" s="179"/>
      <c r="F22" s="89">
        <v>2</v>
      </c>
      <c r="G22" s="89" t="s">
        <v>1669</v>
      </c>
      <c r="H22" s="89" t="s">
        <v>932</v>
      </c>
      <c r="I22" s="179"/>
      <c r="J22" s="179"/>
      <c r="K22" s="179"/>
      <c r="L22" s="179"/>
      <c r="M22" s="179"/>
    </row>
    <row r="23" spans="1:13">
      <c r="A23" s="179">
        <v>11</v>
      </c>
      <c r="B23" s="206"/>
      <c r="C23" s="197" t="s">
        <v>1670</v>
      </c>
      <c r="D23" s="179" t="s">
        <v>1671</v>
      </c>
      <c r="E23" s="179" t="s">
        <v>1672</v>
      </c>
      <c r="F23" s="89">
        <v>1</v>
      </c>
      <c r="G23" s="89" t="s">
        <v>1673</v>
      </c>
      <c r="H23" s="89" t="s">
        <v>932</v>
      </c>
      <c r="I23" s="179" t="s">
        <v>1674</v>
      </c>
      <c r="J23" s="234" t="s">
        <v>1632</v>
      </c>
      <c r="K23" s="357" t="s">
        <v>992</v>
      </c>
      <c r="L23" s="179" t="s">
        <v>1619</v>
      </c>
      <c r="M23" s="179"/>
    </row>
    <row r="24" spans="1:13">
      <c r="A24" s="179"/>
      <c r="B24" s="206"/>
      <c r="C24" s="197"/>
      <c r="D24" s="179"/>
      <c r="E24" s="179"/>
      <c r="F24" s="89">
        <v>2</v>
      </c>
      <c r="G24" s="89" t="s">
        <v>1675</v>
      </c>
      <c r="H24" s="89"/>
      <c r="I24" s="179"/>
      <c r="J24" s="179"/>
      <c r="K24" s="179"/>
      <c r="L24" s="179"/>
      <c r="M24" s="179"/>
    </row>
    <row r="25" spans="1:13">
      <c r="A25" s="179">
        <v>12</v>
      </c>
      <c r="B25" s="206"/>
      <c r="C25" s="197" t="s">
        <v>1676</v>
      </c>
      <c r="D25" s="179" t="s">
        <v>1677</v>
      </c>
      <c r="E25" s="179" t="s">
        <v>1678</v>
      </c>
      <c r="F25" s="89">
        <v>1</v>
      </c>
      <c r="G25" s="89" t="s">
        <v>1679</v>
      </c>
      <c r="H25" s="89"/>
      <c r="I25" s="179" t="s">
        <v>1680</v>
      </c>
      <c r="J25" s="234" t="s">
        <v>1681</v>
      </c>
      <c r="K25" s="357" t="s">
        <v>992</v>
      </c>
      <c r="L25" s="179" t="s">
        <v>1619</v>
      </c>
      <c r="M25" s="355" t="str">
        <f>HYPERLINK("D:\RaoVat_AutomationTesting\Screenshots\Fail_C12.png", "Xem ảnh lỗi")</f>
        <v>Xem ảnh lỗi</v>
      </c>
    </row>
    <row r="26" spans="1:13">
      <c r="A26" s="179"/>
      <c r="B26" s="206"/>
      <c r="C26" s="197"/>
      <c r="D26" s="179"/>
      <c r="E26" s="179"/>
      <c r="F26" s="89">
        <v>2</v>
      </c>
      <c r="G26" s="89" t="s">
        <v>1682</v>
      </c>
      <c r="H26" s="89" t="s">
        <v>945</v>
      </c>
      <c r="I26" s="179"/>
      <c r="J26" s="179"/>
      <c r="K26" s="179"/>
      <c r="L26" s="179"/>
      <c r="M26" s="179"/>
    </row>
    <row r="27" spans="1:13">
      <c r="A27" s="179">
        <v>13</v>
      </c>
      <c r="B27" s="206"/>
      <c r="C27" s="197" t="s">
        <v>1683</v>
      </c>
      <c r="D27" s="179" t="s">
        <v>1684</v>
      </c>
      <c r="E27" s="179" t="s">
        <v>1685</v>
      </c>
      <c r="F27" s="89">
        <v>1</v>
      </c>
      <c r="G27" s="89" t="s">
        <v>1686</v>
      </c>
      <c r="H27" s="89"/>
      <c r="I27" s="179" t="s">
        <v>1687</v>
      </c>
      <c r="J27" s="234" t="s">
        <v>1688</v>
      </c>
      <c r="K27" s="357" t="s">
        <v>992</v>
      </c>
      <c r="L27" s="179" t="s">
        <v>1619</v>
      </c>
      <c r="M27" s="355" t="str">
        <f>HYPERLINK("D:\RaoVat_AutomationTesting\Screenshots\Fail_C13.png", "Xem ảnh lỗi")</f>
        <v>Xem ảnh lỗi</v>
      </c>
    </row>
    <row r="28" spans="1:13">
      <c r="A28" s="179"/>
      <c r="B28" s="206"/>
      <c r="C28" s="197"/>
      <c r="D28" s="179"/>
      <c r="E28" s="179"/>
      <c r="F28" s="89">
        <v>2</v>
      </c>
      <c r="G28" s="89" t="s">
        <v>1689</v>
      </c>
      <c r="H28" s="89" t="s">
        <v>932</v>
      </c>
      <c r="I28" s="179"/>
      <c r="J28" s="179"/>
      <c r="K28" s="179"/>
      <c r="L28" s="179"/>
      <c r="M28" s="179"/>
    </row>
    <row r="29" spans="1:13">
      <c r="A29" s="179">
        <v>14</v>
      </c>
      <c r="B29" s="206"/>
      <c r="C29" s="197" t="s">
        <v>1690</v>
      </c>
      <c r="D29" s="179" t="s">
        <v>1691</v>
      </c>
      <c r="E29" s="179" t="s">
        <v>1692</v>
      </c>
      <c r="F29" s="89">
        <v>1</v>
      </c>
      <c r="G29" s="89" t="s">
        <v>1693</v>
      </c>
      <c r="H29" s="89" t="s">
        <v>1694</v>
      </c>
      <c r="I29" s="179" t="s">
        <v>1695</v>
      </c>
      <c r="J29" s="234" t="s">
        <v>1632</v>
      </c>
      <c r="K29" s="357" t="s">
        <v>992</v>
      </c>
      <c r="L29" s="179" t="s">
        <v>1619</v>
      </c>
      <c r="M29" s="179"/>
    </row>
    <row r="30" spans="1:13">
      <c r="A30" s="179"/>
      <c r="B30" s="206"/>
      <c r="C30" s="197"/>
      <c r="D30" s="179"/>
      <c r="E30" s="179"/>
      <c r="F30" s="89">
        <v>2</v>
      </c>
      <c r="G30" s="89" t="s">
        <v>1696</v>
      </c>
      <c r="H30" s="89"/>
      <c r="I30" s="179"/>
      <c r="J30" s="179"/>
      <c r="K30" s="179"/>
      <c r="L30" s="179"/>
      <c r="M30" s="179"/>
    </row>
    <row r="31" spans="1:13">
      <c r="A31" s="179">
        <v>15</v>
      </c>
      <c r="B31" s="206"/>
      <c r="C31" s="197" t="s">
        <v>1697</v>
      </c>
      <c r="D31" s="179" t="s">
        <v>1698</v>
      </c>
      <c r="E31" s="179" t="s">
        <v>1699</v>
      </c>
      <c r="F31" s="89">
        <v>1</v>
      </c>
      <c r="G31" s="89" t="s">
        <v>1700</v>
      </c>
      <c r="H31" s="89" t="s">
        <v>1701</v>
      </c>
      <c r="I31" s="179" t="s">
        <v>1702</v>
      </c>
      <c r="J31" s="234" t="s">
        <v>1632</v>
      </c>
      <c r="K31" s="357" t="s">
        <v>992</v>
      </c>
      <c r="L31" s="179" t="s">
        <v>1619</v>
      </c>
      <c r="M31" s="179"/>
    </row>
    <row r="32" spans="1:13">
      <c r="A32" s="179"/>
      <c r="B32" s="206"/>
      <c r="C32" s="197"/>
      <c r="D32" s="179"/>
      <c r="E32" s="179"/>
      <c r="F32" s="89">
        <v>2</v>
      </c>
      <c r="G32" s="89" t="s">
        <v>1703</v>
      </c>
      <c r="H32" s="89"/>
      <c r="I32" s="179"/>
      <c r="J32" s="179"/>
      <c r="K32" s="179"/>
      <c r="L32" s="179"/>
      <c r="M32" s="179"/>
    </row>
    <row r="33" spans="1:13">
      <c r="A33" s="179">
        <v>16</v>
      </c>
      <c r="B33" s="206"/>
      <c r="C33" s="197" t="s">
        <v>1704</v>
      </c>
      <c r="D33" s="179" t="s">
        <v>1705</v>
      </c>
      <c r="E33" s="179" t="s">
        <v>1706</v>
      </c>
      <c r="F33" s="89">
        <v>1</v>
      </c>
      <c r="G33" s="89" t="s">
        <v>1707</v>
      </c>
      <c r="H33" s="89" t="s">
        <v>1708</v>
      </c>
      <c r="I33" s="179" t="s">
        <v>1709</v>
      </c>
      <c r="J33" s="234" t="s">
        <v>1632</v>
      </c>
      <c r="K33" s="357" t="s">
        <v>992</v>
      </c>
      <c r="L33" s="179" t="s">
        <v>1619</v>
      </c>
      <c r="M33" s="179"/>
    </row>
    <row r="34" spans="1:13">
      <c r="A34" s="179"/>
      <c r="B34" s="206"/>
      <c r="C34" s="197"/>
      <c r="D34" s="179"/>
      <c r="E34" s="179"/>
      <c r="F34" s="89">
        <v>2</v>
      </c>
      <c r="G34" s="89" t="s">
        <v>1710</v>
      </c>
      <c r="H34" s="89"/>
      <c r="I34" s="179"/>
      <c r="J34" s="179"/>
      <c r="K34" s="179"/>
      <c r="L34" s="179"/>
      <c r="M34" s="179"/>
    </row>
    <row r="35" spans="1:13">
      <c r="A35" s="179">
        <v>17</v>
      </c>
      <c r="B35" s="206"/>
      <c r="C35" s="197" t="s">
        <v>1711</v>
      </c>
      <c r="D35" s="179" t="s">
        <v>1712</v>
      </c>
      <c r="E35" s="179" t="s">
        <v>1713</v>
      </c>
      <c r="F35" s="89">
        <v>1</v>
      </c>
      <c r="G35" s="89" t="s">
        <v>1714</v>
      </c>
      <c r="H35" s="89"/>
      <c r="I35" s="179" t="s">
        <v>1715</v>
      </c>
      <c r="J35" s="234" t="s">
        <v>1632</v>
      </c>
      <c r="K35" s="357" t="s">
        <v>992</v>
      </c>
      <c r="L35" s="179" t="s">
        <v>1619</v>
      </c>
      <c r="M35" s="179"/>
    </row>
    <row r="36" spans="1:13">
      <c r="A36" s="179"/>
      <c r="B36" s="206"/>
      <c r="C36" s="197"/>
      <c r="D36" s="179"/>
      <c r="E36" s="179"/>
      <c r="F36" s="89">
        <v>2</v>
      </c>
      <c r="G36" s="89" t="s">
        <v>1716</v>
      </c>
      <c r="H36" s="89" t="s">
        <v>951</v>
      </c>
      <c r="I36" s="179"/>
      <c r="J36" s="179"/>
      <c r="K36" s="179"/>
      <c r="L36" s="179"/>
      <c r="M36" s="179"/>
    </row>
    <row r="37" spans="1:13">
      <c r="A37" s="179">
        <v>18</v>
      </c>
      <c r="B37" s="206"/>
      <c r="C37" s="197" t="s">
        <v>1717</v>
      </c>
      <c r="D37" s="179" t="s">
        <v>1718</v>
      </c>
      <c r="E37" s="179" t="s">
        <v>1719</v>
      </c>
      <c r="F37" s="89">
        <v>1</v>
      </c>
      <c r="G37" s="89" t="s">
        <v>1720</v>
      </c>
      <c r="H37" s="89" t="s">
        <v>1721</v>
      </c>
      <c r="I37" s="179" t="s">
        <v>1722</v>
      </c>
      <c r="J37" s="234" t="s">
        <v>1632</v>
      </c>
      <c r="K37" s="357" t="s">
        <v>992</v>
      </c>
      <c r="L37" s="179" t="s">
        <v>1619</v>
      </c>
      <c r="M37" s="179"/>
    </row>
    <row r="38" spans="1:13">
      <c r="A38" s="179"/>
      <c r="B38" s="206"/>
      <c r="C38" s="197"/>
      <c r="D38" s="179"/>
      <c r="E38" s="179"/>
      <c r="F38" s="89">
        <v>2</v>
      </c>
      <c r="G38" s="89" t="s">
        <v>1723</v>
      </c>
      <c r="H38" s="89"/>
      <c r="I38" s="179"/>
      <c r="J38" s="179"/>
      <c r="K38" s="179"/>
      <c r="L38" s="179"/>
      <c r="M38" s="179"/>
    </row>
    <row r="39" spans="1:13">
      <c r="A39" s="179">
        <v>19</v>
      </c>
      <c r="B39" s="206"/>
      <c r="C39" s="197" t="s">
        <v>1724</v>
      </c>
      <c r="D39" s="179" t="s">
        <v>1725</v>
      </c>
      <c r="E39" s="179" t="s">
        <v>1726</v>
      </c>
      <c r="F39" s="89">
        <v>1</v>
      </c>
      <c r="G39" s="89" t="s">
        <v>1727</v>
      </c>
      <c r="H39" s="89"/>
      <c r="I39" s="179" t="s">
        <v>1728</v>
      </c>
      <c r="J39" s="234" t="s">
        <v>1632</v>
      </c>
      <c r="K39" s="357" t="s">
        <v>992</v>
      </c>
      <c r="L39" s="179" t="s">
        <v>1619</v>
      </c>
      <c r="M39" s="179"/>
    </row>
    <row r="40" spans="1:13">
      <c r="A40" s="179"/>
      <c r="B40" s="206"/>
      <c r="C40" s="197"/>
      <c r="D40" s="179"/>
      <c r="E40" s="179"/>
      <c r="F40" s="89">
        <v>2</v>
      </c>
      <c r="G40" s="89" t="s">
        <v>1729</v>
      </c>
      <c r="H40" s="89" t="s">
        <v>945</v>
      </c>
      <c r="I40" s="179"/>
      <c r="J40" s="179"/>
      <c r="K40" s="179"/>
      <c r="L40" s="179"/>
      <c r="M40" s="179"/>
    </row>
    <row r="41" spans="1:13">
      <c r="A41" s="179">
        <v>20</v>
      </c>
      <c r="B41" s="206"/>
      <c r="C41" s="363" t="s">
        <v>1730</v>
      </c>
      <c r="D41" s="354" t="s">
        <v>1731</v>
      </c>
      <c r="E41" s="354" t="s">
        <v>1732</v>
      </c>
      <c r="F41" s="89">
        <v>1</v>
      </c>
      <c r="G41" s="89" t="s">
        <v>1733</v>
      </c>
      <c r="H41" s="89"/>
      <c r="I41" s="354" t="s">
        <v>1734</v>
      </c>
      <c r="J41" s="179"/>
      <c r="K41" s="179"/>
      <c r="L41" s="179"/>
      <c r="M41" s="179"/>
    </row>
    <row r="42" spans="1:13">
      <c r="A42" s="179"/>
      <c r="B42" s="206"/>
      <c r="C42" s="363"/>
      <c r="D42" s="354"/>
      <c r="E42" s="354"/>
      <c r="F42" s="89">
        <v>2</v>
      </c>
      <c r="G42" s="89" t="s">
        <v>1735</v>
      </c>
      <c r="H42" s="89" t="s">
        <v>1736</v>
      </c>
      <c r="I42" s="354"/>
      <c r="J42" s="179"/>
      <c r="K42" s="179"/>
      <c r="L42" s="179"/>
      <c r="M42" s="179"/>
    </row>
    <row r="43" spans="1:13">
      <c r="A43" s="179"/>
      <c r="B43" s="206"/>
      <c r="C43" s="363"/>
      <c r="D43" s="354"/>
      <c r="E43" s="354"/>
      <c r="F43" s="89">
        <v>3</v>
      </c>
      <c r="G43" s="89" t="s">
        <v>1737</v>
      </c>
      <c r="H43" s="89"/>
      <c r="I43" s="354"/>
      <c r="J43" s="179"/>
      <c r="K43" s="179"/>
      <c r="L43" s="179"/>
      <c r="M43" s="179"/>
    </row>
    <row r="44" spans="1:13">
      <c r="A44" s="179">
        <v>21</v>
      </c>
      <c r="B44" s="206"/>
      <c r="C44" s="197" t="s">
        <v>1738</v>
      </c>
      <c r="D44" s="179" t="s">
        <v>1739</v>
      </c>
      <c r="E44" s="179" t="s">
        <v>1740</v>
      </c>
      <c r="F44" s="89">
        <v>1</v>
      </c>
      <c r="G44" s="89" t="s">
        <v>1741</v>
      </c>
      <c r="H44" s="89" t="s">
        <v>1742</v>
      </c>
      <c r="I44" s="179" t="s">
        <v>1743</v>
      </c>
      <c r="J44" s="234" t="s">
        <v>1632</v>
      </c>
      <c r="K44" s="357" t="s">
        <v>992</v>
      </c>
      <c r="L44" s="179" t="s">
        <v>1619</v>
      </c>
      <c r="M44" s="179"/>
    </row>
    <row r="45" spans="1:13">
      <c r="A45" s="179"/>
      <c r="B45" s="206"/>
      <c r="C45" s="197"/>
      <c r="D45" s="179"/>
      <c r="E45" s="179"/>
      <c r="F45" s="89">
        <v>2</v>
      </c>
      <c r="G45" s="89" t="s">
        <v>1744</v>
      </c>
      <c r="H45" s="89"/>
      <c r="I45" s="179"/>
      <c r="J45" s="179"/>
      <c r="K45" s="179"/>
      <c r="L45" s="179"/>
      <c r="M45" s="179"/>
    </row>
    <row r="46" spans="1:13">
      <c r="A46" s="179">
        <v>22</v>
      </c>
      <c r="B46" s="206"/>
      <c r="C46" s="197" t="s">
        <v>1745</v>
      </c>
      <c r="D46" s="179" t="s">
        <v>1746</v>
      </c>
      <c r="E46" s="179" t="s">
        <v>1623</v>
      </c>
      <c r="F46" s="89">
        <v>1</v>
      </c>
      <c r="G46" s="89" t="s">
        <v>1747</v>
      </c>
      <c r="H46" s="89"/>
      <c r="I46" s="179" t="s">
        <v>1748</v>
      </c>
      <c r="J46" s="234" t="s">
        <v>1632</v>
      </c>
      <c r="K46" s="357" t="s">
        <v>992</v>
      </c>
      <c r="L46" s="179" t="s">
        <v>1619</v>
      </c>
      <c r="M46" s="179"/>
    </row>
    <row r="47" spans="1:13">
      <c r="A47" s="179"/>
      <c r="B47" s="206"/>
      <c r="C47" s="197"/>
      <c r="D47" s="179"/>
      <c r="E47" s="179"/>
      <c r="F47" s="89">
        <v>2</v>
      </c>
      <c r="G47" s="89" t="s">
        <v>1749</v>
      </c>
      <c r="H47" s="89" t="s">
        <v>945</v>
      </c>
      <c r="I47" s="179"/>
      <c r="J47" s="179"/>
      <c r="K47" s="179"/>
      <c r="L47" s="179"/>
      <c r="M47" s="179"/>
    </row>
    <row r="48" spans="1:13">
      <c r="A48" s="179">
        <v>23</v>
      </c>
      <c r="B48" s="206"/>
      <c r="C48" s="197" t="s">
        <v>1750</v>
      </c>
      <c r="D48" s="179" t="s">
        <v>1751</v>
      </c>
      <c r="E48" s="179" t="s">
        <v>1752</v>
      </c>
      <c r="F48" s="89">
        <v>1</v>
      </c>
      <c r="G48" s="89" t="s">
        <v>1753</v>
      </c>
      <c r="H48" s="89" t="s">
        <v>1721</v>
      </c>
      <c r="I48" s="179" t="s">
        <v>1754</v>
      </c>
      <c r="J48" s="234" t="s">
        <v>1632</v>
      </c>
      <c r="K48" s="357" t="s">
        <v>992</v>
      </c>
      <c r="L48" s="179" t="s">
        <v>1619</v>
      </c>
      <c r="M48" s="179"/>
    </row>
    <row r="49" spans="1:13">
      <c r="A49" s="179"/>
      <c r="B49" s="206"/>
      <c r="C49" s="197"/>
      <c r="D49" s="179"/>
      <c r="E49" s="179"/>
      <c r="F49" s="89">
        <v>2</v>
      </c>
      <c r="G49" s="89" t="s">
        <v>1755</v>
      </c>
      <c r="H49" s="89"/>
      <c r="I49" s="179"/>
      <c r="J49" s="179"/>
      <c r="K49" s="179"/>
      <c r="L49" s="179"/>
      <c r="M49" s="179"/>
    </row>
    <row r="50" spans="1:13">
      <c r="A50" s="179">
        <v>24</v>
      </c>
      <c r="B50" s="206"/>
      <c r="C50" s="197" t="s">
        <v>1756</v>
      </c>
      <c r="D50" s="179" t="s">
        <v>1757</v>
      </c>
      <c r="E50" s="179" t="s">
        <v>1758</v>
      </c>
      <c r="F50" s="89">
        <v>1</v>
      </c>
      <c r="G50" s="89" t="s">
        <v>1759</v>
      </c>
      <c r="H50" s="89" t="s">
        <v>1760</v>
      </c>
      <c r="I50" s="179" t="s">
        <v>1761</v>
      </c>
      <c r="J50" s="234" t="s">
        <v>1762</v>
      </c>
      <c r="K50" s="357" t="s">
        <v>992</v>
      </c>
      <c r="L50" s="179" t="s">
        <v>1619</v>
      </c>
      <c r="M50" s="179"/>
    </row>
    <row r="51" spans="1:13">
      <c r="A51" s="179"/>
      <c r="B51" s="206"/>
      <c r="C51" s="197"/>
      <c r="D51" s="179"/>
      <c r="E51" s="179"/>
      <c r="F51" s="89">
        <v>2</v>
      </c>
      <c r="G51" s="89" t="s">
        <v>1763</v>
      </c>
      <c r="H51" s="89"/>
      <c r="I51" s="179"/>
      <c r="J51" s="179"/>
      <c r="K51" s="179"/>
      <c r="L51" s="179"/>
      <c r="M51" s="179"/>
    </row>
    <row r="52" spans="1:13">
      <c r="A52" s="179">
        <v>25</v>
      </c>
      <c r="B52" s="206"/>
      <c r="C52" s="197" t="s">
        <v>1764</v>
      </c>
      <c r="D52" s="179" t="s">
        <v>1765</v>
      </c>
      <c r="E52" s="179" t="s">
        <v>1758</v>
      </c>
      <c r="F52" s="89">
        <v>1</v>
      </c>
      <c r="G52" s="89" t="s">
        <v>1766</v>
      </c>
      <c r="H52" s="89"/>
      <c r="I52" s="179" t="s">
        <v>1767</v>
      </c>
      <c r="J52" s="234" t="s">
        <v>1768</v>
      </c>
      <c r="K52" s="357" t="s">
        <v>992</v>
      </c>
      <c r="L52" s="179" t="s">
        <v>1619</v>
      </c>
      <c r="M52" s="179"/>
    </row>
    <row r="53" spans="1:13">
      <c r="A53" s="179"/>
      <c r="B53" s="206"/>
      <c r="C53" s="197"/>
      <c r="D53" s="179"/>
      <c r="E53" s="179"/>
      <c r="F53" s="89">
        <v>2</v>
      </c>
      <c r="G53" s="89" t="s">
        <v>1769</v>
      </c>
      <c r="H53" s="89" t="s">
        <v>1770</v>
      </c>
      <c r="I53" s="179"/>
      <c r="J53" s="179"/>
      <c r="K53" s="179"/>
      <c r="L53" s="179"/>
      <c r="M53" s="179"/>
    </row>
    <row r="54" spans="1:13">
      <c r="A54" s="179">
        <v>26</v>
      </c>
      <c r="B54" s="206"/>
      <c r="C54" s="197" t="s">
        <v>1771</v>
      </c>
      <c r="D54" s="179" t="s">
        <v>1772</v>
      </c>
      <c r="E54" s="179" t="s">
        <v>1773</v>
      </c>
      <c r="F54" s="89">
        <v>1</v>
      </c>
      <c r="G54" s="89" t="s">
        <v>1774</v>
      </c>
      <c r="H54" s="89"/>
      <c r="I54" s="179" t="s">
        <v>1775</v>
      </c>
      <c r="J54" s="234" t="s">
        <v>1776</v>
      </c>
      <c r="K54" s="357" t="s">
        <v>992</v>
      </c>
      <c r="L54" s="179" t="s">
        <v>1619</v>
      </c>
      <c r="M54" s="179"/>
    </row>
    <row r="55" spans="1:13">
      <c r="A55" s="179"/>
      <c r="B55" s="206"/>
      <c r="C55" s="197"/>
      <c r="D55" s="179"/>
      <c r="E55" s="179"/>
      <c r="F55" s="89">
        <v>2</v>
      </c>
      <c r="G55" s="89" t="s">
        <v>1777</v>
      </c>
      <c r="H55" s="89" t="s">
        <v>1778</v>
      </c>
      <c r="I55" s="179"/>
      <c r="J55" s="179"/>
      <c r="K55" s="179"/>
      <c r="L55" s="179"/>
      <c r="M55" s="179"/>
    </row>
    <row r="56" spans="1:13">
      <c r="A56" s="179">
        <v>27</v>
      </c>
      <c r="B56" s="206"/>
      <c r="C56" s="197" t="s">
        <v>1779</v>
      </c>
      <c r="D56" s="179" t="s">
        <v>1780</v>
      </c>
      <c r="E56" s="179" t="s">
        <v>1781</v>
      </c>
      <c r="F56" s="89">
        <v>1</v>
      </c>
      <c r="G56" s="89" t="s">
        <v>1782</v>
      </c>
      <c r="H56" s="89"/>
      <c r="I56" s="179" t="s">
        <v>1775</v>
      </c>
      <c r="J56" s="234" t="s">
        <v>1776</v>
      </c>
      <c r="K56" s="357" t="s">
        <v>992</v>
      </c>
      <c r="L56" s="179" t="s">
        <v>1619</v>
      </c>
      <c r="M56" s="179"/>
    </row>
    <row r="57" spans="1:13">
      <c r="A57" s="179"/>
      <c r="B57" s="206"/>
      <c r="C57" s="197"/>
      <c r="D57" s="179"/>
      <c r="E57" s="179"/>
      <c r="F57" s="89">
        <v>2</v>
      </c>
      <c r="G57" s="89" t="s">
        <v>1783</v>
      </c>
      <c r="H57" s="89" t="s">
        <v>1784</v>
      </c>
      <c r="I57" s="179"/>
      <c r="J57" s="179"/>
      <c r="K57" s="179"/>
      <c r="L57" s="179"/>
      <c r="M57" s="179"/>
    </row>
    <row r="58" spans="1:13">
      <c r="A58" s="179">
        <v>28</v>
      </c>
      <c r="B58" s="206"/>
      <c r="C58" s="197" t="s">
        <v>1785</v>
      </c>
      <c r="D58" s="179" t="s">
        <v>1786</v>
      </c>
      <c r="E58" s="179" t="s">
        <v>1787</v>
      </c>
      <c r="F58" s="89">
        <v>1</v>
      </c>
      <c r="G58" s="89" t="s">
        <v>1788</v>
      </c>
      <c r="H58" s="89"/>
      <c r="I58" s="179" t="s">
        <v>1789</v>
      </c>
      <c r="J58" s="234" t="s">
        <v>1776</v>
      </c>
      <c r="K58" s="357" t="s">
        <v>992</v>
      </c>
      <c r="L58" s="179" t="s">
        <v>1619</v>
      </c>
      <c r="M58" s="179"/>
    </row>
    <row r="59" spans="1:13">
      <c r="A59" s="179"/>
      <c r="B59" s="207"/>
      <c r="C59" s="197"/>
      <c r="D59" s="179"/>
      <c r="E59" s="179"/>
      <c r="F59" s="89">
        <v>2</v>
      </c>
      <c r="G59" s="89" t="s">
        <v>1790</v>
      </c>
      <c r="H59" s="89" t="s">
        <v>1791</v>
      </c>
      <c r="I59" s="179"/>
      <c r="J59" s="179"/>
      <c r="K59" s="179"/>
      <c r="L59" s="179"/>
      <c r="M59" s="179"/>
    </row>
    <row r="60" spans="1:13">
      <c r="A60" s="179">
        <v>29</v>
      </c>
      <c r="B60" s="205" t="s">
        <v>1792</v>
      </c>
      <c r="C60" s="197" t="s">
        <v>1793</v>
      </c>
      <c r="D60" s="179" t="s">
        <v>1794</v>
      </c>
      <c r="E60" s="179" t="s">
        <v>1795</v>
      </c>
      <c r="F60" s="89">
        <v>1</v>
      </c>
      <c r="G60" s="89" t="s">
        <v>1796</v>
      </c>
      <c r="H60" s="89"/>
      <c r="I60" s="179" t="s">
        <v>1618</v>
      </c>
      <c r="J60" s="234" t="s">
        <v>1618</v>
      </c>
      <c r="K60" s="357" t="s">
        <v>992</v>
      </c>
      <c r="L60" s="179" t="s">
        <v>1619</v>
      </c>
      <c r="M60" s="179"/>
    </row>
    <row r="61" spans="1:13">
      <c r="A61" s="179"/>
      <c r="B61" s="206"/>
      <c r="C61" s="197"/>
      <c r="D61" s="179"/>
      <c r="E61" s="179"/>
      <c r="F61" s="89">
        <v>2</v>
      </c>
      <c r="G61" s="89" t="s">
        <v>1797</v>
      </c>
      <c r="H61" s="89"/>
      <c r="I61" s="179"/>
      <c r="J61" s="179"/>
      <c r="K61" s="179"/>
      <c r="L61" s="179"/>
      <c r="M61" s="179"/>
    </row>
    <row r="62" spans="1:13">
      <c r="A62" s="179">
        <v>30</v>
      </c>
      <c r="B62" s="206"/>
      <c r="C62" s="197" t="s">
        <v>1798</v>
      </c>
      <c r="D62" s="179" t="s">
        <v>1799</v>
      </c>
      <c r="E62" s="179" t="s">
        <v>1795</v>
      </c>
      <c r="F62" s="89">
        <v>1</v>
      </c>
      <c r="G62" s="89" t="s">
        <v>1800</v>
      </c>
      <c r="H62" s="89" t="s">
        <v>60</v>
      </c>
      <c r="I62" s="179" t="s">
        <v>1801</v>
      </c>
      <c r="J62" s="234" t="s">
        <v>1618</v>
      </c>
      <c r="K62" s="357" t="s">
        <v>992</v>
      </c>
      <c r="L62" s="179" t="s">
        <v>1619</v>
      </c>
      <c r="M62" s="179"/>
    </row>
    <row r="63" spans="1:13">
      <c r="A63" s="179"/>
      <c r="B63" s="206"/>
      <c r="C63" s="197"/>
      <c r="D63" s="179"/>
      <c r="E63" s="179"/>
      <c r="F63" s="89">
        <v>2</v>
      </c>
      <c r="G63" s="89" t="s">
        <v>1802</v>
      </c>
      <c r="H63" s="89"/>
      <c r="I63" s="179"/>
      <c r="J63" s="179"/>
      <c r="K63" s="179"/>
      <c r="L63" s="179"/>
      <c r="M63" s="179"/>
    </row>
    <row r="64" spans="1:13">
      <c r="A64" s="179">
        <v>31</v>
      </c>
      <c r="B64" s="206"/>
      <c r="C64" s="197" t="s">
        <v>1803</v>
      </c>
      <c r="D64" s="179" t="s">
        <v>1804</v>
      </c>
      <c r="E64" s="179" t="s">
        <v>1795</v>
      </c>
      <c r="F64" s="89">
        <v>1</v>
      </c>
      <c r="G64" s="89" t="s">
        <v>1805</v>
      </c>
      <c r="H64" s="89" t="s">
        <v>1806</v>
      </c>
      <c r="I64" s="179" t="s">
        <v>1807</v>
      </c>
      <c r="J64" s="234" t="s">
        <v>1632</v>
      </c>
      <c r="K64" s="357" t="s">
        <v>992</v>
      </c>
      <c r="L64" s="179" t="s">
        <v>1619</v>
      </c>
      <c r="M64" s="179"/>
    </row>
    <row r="65" spans="1:13">
      <c r="A65" s="179"/>
      <c r="B65" s="206"/>
      <c r="C65" s="197"/>
      <c r="D65" s="179"/>
      <c r="E65" s="179"/>
      <c r="F65" s="89">
        <v>2</v>
      </c>
      <c r="G65" s="89" t="s">
        <v>1802</v>
      </c>
      <c r="H65" s="89"/>
      <c r="I65" s="179"/>
      <c r="J65" s="179"/>
      <c r="K65" s="179"/>
      <c r="L65" s="179"/>
      <c r="M65" s="179"/>
    </row>
    <row r="66" spans="1:13">
      <c r="A66" s="179">
        <v>32</v>
      </c>
      <c r="B66" s="206"/>
      <c r="C66" s="197" t="s">
        <v>1808</v>
      </c>
      <c r="D66" s="179" t="s">
        <v>1809</v>
      </c>
      <c r="E66" s="179" t="s">
        <v>1795</v>
      </c>
      <c r="F66" s="89">
        <v>1</v>
      </c>
      <c r="G66" s="89" t="s">
        <v>1810</v>
      </c>
      <c r="H66" s="89" t="s">
        <v>1811</v>
      </c>
      <c r="I66" s="179" t="s">
        <v>1646</v>
      </c>
      <c r="J66" s="234" t="s">
        <v>1812</v>
      </c>
      <c r="K66" s="364" t="s">
        <v>497</v>
      </c>
      <c r="L66" s="179" t="s">
        <v>1619</v>
      </c>
      <c r="M66" s="355" t="str">
        <f>HYPERLINK("D:\RaoVat_AutomationTesting\Screenshots\Fail_CM04.png", "Xem ảnh lỗi")</f>
        <v>Xem ảnh lỗi</v>
      </c>
    </row>
    <row r="67" spans="1:13">
      <c r="A67" s="179"/>
      <c r="B67" s="206"/>
      <c r="C67" s="197"/>
      <c r="D67" s="179"/>
      <c r="E67" s="179"/>
      <c r="F67" s="89">
        <v>2</v>
      </c>
      <c r="G67" s="89" t="s">
        <v>1802</v>
      </c>
      <c r="H67" s="89"/>
      <c r="I67" s="179"/>
      <c r="J67" s="179"/>
      <c r="K67" s="179"/>
      <c r="L67" s="179"/>
      <c r="M67" s="179"/>
    </row>
    <row r="68" spans="1:13">
      <c r="A68" s="179">
        <v>33</v>
      </c>
      <c r="B68" s="206"/>
      <c r="C68" s="197" t="s">
        <v>1813</v>
      </c>
      <c r="D68" s="179" t="s">
        <v>1814</v>
      </c>
      <c r="E68" s="179" t="s">
        <v>1795</v>
      </c>
      <c r="F68" s="89">
        <v>1</v>
      </c>
      <c r="G68" s="89" t="s">
        <v>1815</v>
      </c>
      <c r="H68" s="89" t="s">
        <v>1816</v>
      </c>
      <c r="I68" s="179" t="s">
        <v>1817</v>
      </c>
      <c r="J68" s="234" t="s">
        <v>1632</v>
      </c>
      <c r="K68" s="357" t="s">
        <v>992</v>
      </c>
      <c r="L68" s="179" t="s">
        <v>1619</v>
      </c>
      <c r="M68" s="179"/>
    </row>
    <row r="69" spans="1:13">
      <c r="A69" s="179"/>
      <c r="B69" s="206"/>
      <c r="C69" s="197"/>
      <c r="D69" s="179"/>
      <c r="E69" s="179"/>
      <c r="F69" s="89">
        <v>2</v>
      </c>
      <c r="G69" s="89" t="s">
        <v>1802</v>
      </c>
      <c r="H69" s="89"/>
      <c r="I69" s="179"/>
      <c r="J69" s="179"/>
      <c r="K69" s="179"/>
      <c r="L69" s="179"/>
      <c r="M69" s="179"/>
    </row>
    <row r="70" spans="1:13">
      <c r="A70" s="179">
        <v>34</v>
      </c>
      <c r="B70" s="206"/>
      <c r="C70" s="197" t="s">
        <v>1818</v>
      </c>
      <c r="D70" s="179" t="s">
        <v>1819</v>
      </c>
      <c r="E70" s="179" t="s">
        <v>1685</v>
      </c>
      <c r="F70" s="89">
        <v>1</v>
      </c>
      <c r="G70" s="89" t="s">
        <v>1686</v>
      </c>
      <c r="H70" s="89"/>
      <c r="I70" s="179" t="s">
        <v>1687</v>
      </c>
      <c r="J70" s="234" t="s">
        <v>1820</v>
      </c>
      <c r="K70" s="357" t="s">
        <v>992</v>
      </c>
      <c r="L70" s="179" t="s">
        <v>1619</v>
      </c>
      <c r="M70" s="355" t="str">
        <f>HYPERLINK("D:\RaoVat_AutomationTesting\Screenshots\Fail_CM06.png", "Xem ảnh lỗi")</f>
        <v>Xem ảnh lỗi</v>
      </c>
    </row>
    <row r="71" spans="1:13">
      <c r="A71" s="179"/>
      <c r="B71" s="206"/>
      <c r="C71" s="197"/>
      <c r="D71" s="179"/>
      <c r="E71" s="179"/>
      <c r="F71" s="89">
        <v>2</v>
      </c>
      <c r="G71" s="89" t="s">
        <v>1821</v>
      </c>
      <c r="H71" s="89" t="s">
        <v>932</v>
      </c>
      <c r="I71" s="179"/>
      <c r="J71" s="179"/>
      <c r="K71" s="179"/>
      <c r="L71" s="179"/>
      <c r="M71" s="179"/>
    </row>
    <row r="72" spans="1:13">
      <c r="A72" s="179">
        <v>35</v>
      </c>
      <c r="B72" s="206"/>
      <c r="C72" s="363" t="s">
        <v>1822</v>
      </c>
      <c r="D72" s="354" t="s">
        <v>1823</v>
      </c>
      <c r="E72" s="354" t="s">
        <v>1824</v>
      </c>
      <c r="F72" s="89">
        <v>1</v>
      </c>
      <c r="G72" s="89" t="s">
        <v>1825</v>
      </c>
      <c r="H72" s="89"/>
      <c r="I72" s="354" t="s">
        <v>1826</v>
      </c>
      <c r="J72" s="179"/>
      <c r="K72" s="179"/>
      <c r="L72" s="179"/>
      <c r="M72" s="179"/>
    </row>
    <row r="73" spans="1:13">
      <c r="A73" s="179"/>
      <c r="B73" s="206"/>
      <c r="C73" s="363"/>
      <c r="D73" s="354"/>
      <c r="E73" s="354"/>
      <c r="F73" s="89">
        <v>2</v>
      </c>
      <c r="G73" s="89" t="s">
        <v>1827</v>
      </c>
      <c r="H73" s="89" t="s">
        <v>1778</v>
      </c>
      <c r="I73" s="354"/>
      <c r="J73" s="179"/>
      <c r="K73" s="179"/>
      <c r="L73" s="179"/>
      <c r="M73" s="179"/>
    </row>
    <row r="74" spans="1:13">
      <c r="A74" s="179">
        <v>36</v>
      </c>
      <c r="B74" s="206"/>
      <c r="C74" s="363" t="s">
        <v>1828</v>
      </c>
      <c r="D74" s="354" t="s">
        <v>1829</v>
      </c>
      <c r="E74" s="354" t="s">
        <v>1830</v>
      </c>
      <c r="F74" s="89">
        <v>1</v>
      </c>
      <c r="G74" s="89" t="s">
        <v>1831</v>
      </c>
      <c r="H74" s="89"/>
      <c r="I74" s="354" t="s">
        <v>1832</v>
      </c>
      <c r="J74" s="179"/>
      <c r="K74" s="179"/>
      <c r="L74" s="179"/>
      <c r="M74" s="179"/>
    </row>
    <row r="75" spans="1:13">
      <c r="A75" s="179"/>
      <c r="B75" s="206"/>
      <c r="C75" s="363"/>
      <c r="D75" s="354"/>
      <c r="E75" s="354"/>
      <c r="F75" s="89">
        <v>2</v>
      </c>
      <c r="G75" s="89" t="s">
        <v>1833</v>
      </c>
      <c r="H75" s="89" t="s">
        <v>945</v>
      </c>
      <c r="I75" s="354"/>
      <c r="J75" s="179"/>
      <c r="K75" s="179"/>
      <c r="L75" s="179"/>
      <c r="M75" s="179"/>
    </row>
    <row r="76" spans="1:13">
      <c r="A76" s="179">
        <v>37</v>
      </c>
      <c r="B76" s="206"/>
      <c r="C76" s="363" t="s">
        <v>1834</v>
      </c>
      <c r="D76" s="354" t="s">
        <v>1835</v>
      </c>
      <c r="E76" s="354" t="s">
        <v>1836</v>
      </c>
      <c r="F76" s="89">
        <v>1</v>
      </c>
      <c r="G76" s="89" t="s">
        <v>1837</v>
      </c>
      <c r="H76" s="89"/>
      <c r="I76" s="354" t="s">
        <v>1838</v>
      </c>
      <c r="J76" s="179"/>
      <c r="K76" s="179"/>
      <c r="L76" s="179"/>
      <c r="M76" s="179"/>
    </row>
    <row r="77" spans="1:13">
      <c r="A77" s="179"/>
      <c r="B77" s="206"/>
      <c r="C77" s="363"/>
      <c r="D77" s="354"/>
      <c r="E77" s="354"/>
      <c r="F77" s="89">
        <v>2</v>
      </c>
      <c r="G77" s="89" t="s">
        <v>1839</v>
      </c>
      <c r="H77" s="89" t="s">
        <v>1778</v>
      </c>
      <c r="I77" s="354"/>
      <c r="J77" s="179"/>
      <c r="K77" s="179"/>
      <c r="L77" s="179"/>
      <c r="M77" s="179"/>
    </row>
    <row r="78" spans="1:13">
      <c r="A78" s="179">
        <v>38</v>
      </c>
      <c r="B78" s="206"/>
      <c r="C78" s="363" t="s">
        <v>1840</v>
      </c>
      <c r="D78" s="354" t="s">
        <v>1841</v>
      </c>
      <c r="E78" s="354" t="s">
        <v>1842</v>
      </c>
      <c r="F78" s="89">
        <v>1</v>
      </c>
      <c r="G78" s="89" t="s">
        <v>1843</v>
      </c>
      <c r="H78" s="89" t="s">
        <v>1844</v>
      </c>
      <c r="I78" s="354" t="s">
        <v>1845</v>
      </c>
      <c r="J78" s="179"/>
      <c r="K78" s="179"/>
      <c r="L78" s="179"/>
      <c r="M78" s="179"/>
    </row>
    <row r="79" spans="1:13">
      <c r="A79" s="179"/>
      <c r="B79" s="206"/>
      <c r="C79" s="363"/>
      <c r="D79" s="354"/>
      <c r="E79" s="354"/>
      <c r="F79" s="89">
        <v>2</v>
      </c>
      <c r="G79" s="89" t="s">
        <v>1846</v>
      </c>
      <c r="H79" s="89"/>
      <c r="I79" s="354"/>
      <c r="J79" s="179"/>
      <c r="K79" s="179"/>
      <c r="L79" s="179"/>
      <c r="M79" s="179"/>
    </row>
    <row r="80" spans="1:13">
      <c r="A80" s="179">
        <v>39</v>
      </c>
      <c r="B80" s="206"/>
      <c r="C80" s="363" t="s">
        <v>1847</v>
      </c>
      <c r="D80" s="354" t="s">
        <v>1848</v>
      </c>
      <c r="E80" s="354" t="s">
        <v>1849</v>
      </c>
      <c r="F80" s="89">
        <v>1</v>
      </c>
      <c r="G80" s="89" t="s">
        <v>1850</v>
      </c>
      <c r="H80" s="89" t="s">
        <v>1851</v>
      </c>
      <c r="I80" s="354" t="s">
        <v>1852</v>
      </c>
      <c r="J80" s="234" t="s">
        <v>1632</v>
      </c>
      <c r="K80" s="357" t="s">
        <v>992</v>
      </c>
      <c r="L80" s="179" t="s">
        <v>1619</v>
      </c>
      <c r="M80" s="179"/>
    </row>
    <row r="81" spans="1:13">
      <c r="A81" s="179"/>
      <c r="B81" s="206"/>
      <c r="C81" s="363"/>
      <c r="D81" s="354"/>
      <c r="E81" s="354"/>
      <c r="F81" s="89">
        <v>2</v>
      </c>
      <c r="G81" s="89" t="s">
        <v>1853</v>
      </c>
      <c r="H81" s="89"/>
      <c r="I81" s="354"/>
      <c r="J81" s="179"/>
      <c r="K81" s="179"/>
      <c r="L81" s="179"/>
      <c r="M81" s="179"/>
    </row>
    <row r="82" spans="1:13">
      <c r="A82" s="179">
        <v>40</v>
      </c>
      <c r="B82" s="206"/>
      <c r="C82" s="363" t="s">
        <v>1854</v>
      </c>
      <c r="D82" s="354" t="s">
        <v>1855</v>
      </c>
      <c r="E82" s="354" t="s">
        <v>1856</v>
      </c>
      <c r="F82" s="89">
        <v>1</v>
      </c>
      <c r="G82" s="89" t="s">
        <v>1857</v>
      </c>
      <c r="H82" s="89"/>
      <c r="I82" s="354" t="s">
        <v>1858</v>
      </c>
      <c r="J82" s="234" t="s">
        <v>1632</v>
      </c>
      <c r="K82" s="357" t="s">
        <v>992</v>
      </c>
      <c r="L82" s="179" t="s">
        <v>1619</v>
      </c>
      <c r="M82" s="179"/>
    </row>
    <row r="83" spans="1:13">
      <c r="A83" s="179"/>
      <c r="B83" s="206"/>
      <c r="C83" s="363"/>
      <c r="D83" s="354"/>
      <c r="E83" s="354"/>
      <c r="F83" s="89">
        <v>2</v>
      </c>
      <c r="G83" s="89" t="s">
        <v>1796</v>
      </c>
      <c r="H83" s="89" t="s">
        <v>951</v>
      </c>
      <c r="I83" s="354"/>
      <c r="J83" s="179"/>
      <c r="K83" s="179"/>
      <c r="L83" s="179"/>
      <c r="M83" s="179"/>
    </row>
    <row r="84" spans="1:13">
      <c r="A84" s="179">
        <v>41</v>
      </c>
      <c r="B84" s="206"/>
      <c r="C84" s="363" t="s">
        <v>1859</v>
      </c>
      <c r="D84" s="354" t="s">
        <v>1860</v>
      </c>
      <c r="E84" s="354" t="s">
        <v>1861</v>
      </c>
      <c r="F84" s="89">
        <v>1</v>
      </c>
      <c r="G84" s="89" t="s">
        <v>1862</v>
      </c>
      <c r="H84" s="89"/>
      <c r="I84" s="354" t="s">
        <v>1863</v>
      </c>
      <c r="J84" s="234" t="s">
        <v>1632</v>
      </c>
      <c r="K84" s="357" t="s">
        <v>992</v>
      </c>
      <c r="L84" s="179" t="s">
        <v>1619</v>
      </c>
      <c r="M84" s="179"/>
    </row>
    <row r="85" spans="1:13">
      <c r="A85" s="179"/>
      <c r="B85" s="206"/>
      <c r="C85" s="363"/>
      <c r="D85" s="354"/>
      <c r="E85" s="354"/>
      <c r="F85" s="89">
        <v>2</v>
      </c>
      <c r="G85" s="89" t="s">
        <v>1864</v>
      </c>
      <c r="H85" s="89" t="s">
        <v>932</v>
      </c>
      <c r="I85" s="354"/>
      <c r="J85" s="179"/>
      <c r="K85" s="179"/>
      <c r="L85" s="179"/>
      <c r="M85" s="179"/>
    </row>
    <row r="86" spans="1:13">
      <c r="A86" s="179">
        <v>42</v>
      </c>
      <c r="B86" s="206"/>
      <c r="C86" s="363" t="s">
        <v>1865</v>
      </c>
      <c r="D86" s="354" t="s">
        <v>1866</v>
      </c>
      <c r="E86" s="354" t="s">
        <v>1867</v>
      </c>
      <c r="F86" s="89">
        <v>1</v>
      </c>
      <c r="G86" s="89" t="s">
        <v>1868</v>
      </c>
      <c r="H86" s="89"/>
      <c r="I86" s="354" t="s">
        <v>1869</v>
      </c>
      <c r="J86" s="234" t="s">
        <v>1632</v>
      </c>
      <c r="K86" s="357" t="s">
        <v>992</v>
      </c>
      <c r="L86" s="179" t="s">
        <v>1619</v>
      </c>
      <c r="M86" s="179"/>
    </row>
    <row r="87" spans="1:13">
      <c r="A87" s="179"/>
      <c r="B87" s="206"/>
      <c r="C87" s="363"/>
      <c r="D87" s="354"/>
      <c r="E87" s="354"/>
      <c r="F87" s="89">
        <v>2</v>
      </c>
      <c r="G87" s="89" t="s">
        <v>1870</v>
      </c>
      <c r="H87" s="89" t="s">
        <v>1851</v>
      </c>
      <c r="I87" s="354"/>
      <c r="J87" s="179"/>
      <c r="K87" s="179"/>
      <c r="L87" s="179"/>
      <c r="M87" s="179"/>
    </row>
    <row r="88" spans="1:13">
      <c r="A88" s="179">
        <v>43</v>
      </c>
      <c r="B88" s="206"/>
      <c r="C88" s="363" t="s">
        <v>1871</v>
      </c>
      <c r="D88" s="354" t="s">
        <v>1872</v>
      </c>
      <c r="E88" s="354" t="s">
        <v>1873</v>
      </c>
      <c r="F88" s="89">
        <v>1</v>
      </c>
      <c r="G88" s="89" t="s">
        <v>1874</v>
      </c>
      <c r="H88" s="89"/>
      <c r="I88" s="354" t="s">
        <v>1875</v>
      </c>
      <c r="J88" s="234" t="s">
        <v>1632</v>
      </c>
      <c r="K88" s="357" t="s">
        <v>992</v>
      </c>
      <c r="L88" s="179" t="s">
        <v>1619</v>
      </c>
      <c r="M88" s="179"/>
    </row>
    <row r="89" spans="1:13">
      <c r="A89" s="179"/>
      <c r="B89" s="206"/>
      <c r="C89" s="363"/>
      <c r="D89" s="354"/>
      <c r="E89" s="354"/>
      <c r="F89" s="89">
        <v>2</v>
      </c>
      <c r="G89" s="89" t="s">
        <v>1876</v>
      </c>
      <c r="H89" s="89" t="s">
        <v>945</v>
      </c>
      <c r="I89" s="354"/>
      <c r="J89" s="179"/>
      <c r="K89" s="179"/>
      <c r="L89" s="179"/>
      <c r="M89" s="179"/>
    </row>
    <row r="90" spans="1:13">
      <c r="A90" s="179">
        <v>44</v>
      </c>
      <c r="B90" s="206"/>
      <c r="C90" s="363" t="s">
        <v>1877</v>
      </c>
      <c r="D90" s="354" t="s">
        <v>1746</v>
      </c>
      <c r="E90" s="354" t="s">
        <v>1878</v>
      </c>
      <c r="F90" s="89">
        <v>1</v>
      </c>
      <c r="G90" s="89" t="s">
        <v>1879</v>
      </c>
      <c r="H90" s="89"/>
      <c r="I90" s="354" t="s">
        <v>1880</v>
      </c>
      <c r="J90" s="234" t="s">
        <v>1632</v>
      </c>
      <c r="K90" s="357" t="s">
        <v>992</v>
      </c>
      <c r="L90" s="179" t="s">
        <v>1619</v>
      </c>
      <c r="M90" s="356" t="str">
        <f>HYPERLINK("D:\RaoVat_AutomationTesting\Screenshots\Fail_CM16.png", "Xem ảnh lỗi")</f>
        <v>Xem ảnh lỗi</v>
      </c>
    </row>
    <row r="91" spans="1:13">
      <c r="A91" s="179"/>
      <c r="B91" s="206"/>
      <c r="C91" s="363"/>
      <c r="D91" s="354"/>
      <c r="E91" s="354"/>
      <c r="F91" s="89">
        <v>2</v>
      </c>
      <c r="G91" s="89" t="s">
        <v>1881</v>
      </c>
      <c r="H91" s="89" t="s">
        <v>945</v>
      </c>
      <c r="I91" s="354"/>
      <c r="J91" s="179"/>
      <c r="K91" s="179"/>
      <c r="L91" s="179"/>
      <c r="M91" s="179"/>
    </row>
    <row r="92" spans="1:13">
      <c r="A92" s="179">
        <v>45</v>
      </c>
      <c r="B92" s="206"/>
      <c r="C92" s="363" t="s">
        <v>1882</v>
      </c>
      <c r="D92" s="354" t="s">
        <v>1883</v>
      </c>
      <c r="E92" s="354" t="s">
        <v>1884</v>
      </c>
      <c r="F92" s="89">
        <v>1</v>
      </c>
      <c r="G92" s="89" t="s">
        <v>1885</v>
      </c>
      <c r="H92" s="89" t="s">
        <v>932</v>
      </c>
      <c r="I92" s="354" t="s">
        <v>1886</v>
      </c>
      <c r="J92" s="179"/>
      <c r="K92" s="179"/>
      <c r="L92" s="179"/>
      <c r="M92" s="179"/>
    </row>
    <row r="93" spans="1:13">
      <c r="A93" s="179"/>
      <c r="B93" s="206"/>
      <c r="C93" s="363"/>
      <c r="D93" s="354"/>
      <c r="E93" s="354"/>
      <c r="F93" s="89">
        <v>2</v>
      </c>
      <c r="G93" s="89" t="s">
        <v>1887</v>
      </c>
      <c r="H93" s="89" t="s">
        <v>1888</v>
      </c>
      <c r="I93" s="354"/>
      <c r="J93" s="179"/>
      <c r="K93" s="179"/>
      <c r="L93" s="179"/>
      <c r="M93" s="179"/>
    </row>
    <row r="94" spans="1:13">
      <c r="A94" s="179">
        <v>46</v>
      </c>
      <c r="B94" s="206"/>
      <c r="C94" s="363" t="s">
        <v>1889</v>
      </c>
      <c r="D94" s="354" t="s">
        <v>1890</v>
      </c>
      <c r="E94" s="354" t="s">
        <v>1878</v>
      </c>
      <c r="F94" s="89">
        <v>1</v>
      </c>
      <c r="G94" s="89" t="s">
        <v>1891</v>
      </c>
      <c r="H94" s="89" t="s">
        <v>1892</v>
      </c>
      <c r="I94" s="179" t="s">
        <v>1893</v>
      </c>
      <c r="J94" s="234" t="s">
        <v>1632</v>
      </c>
      <c r="K94" s="357" t="s">
        <v>992</v>
      </c>
      <c r="L94" s="179" t="s">
        <v>1619</v>
      </c>
      <c r="M94" s="355" t="str">
        <f>HYPERLINK("D:\RaoVat_AutomationTesting\Screenshots\Fail_CM18.png", "Xem ảnh lỗi")</f>
        <v>Xem ảnh lỗi</v>
      </c>
    </row>
    <row r="95" spans="1:13">
      <c r="A95" s="179"/>
      <c r="B95" s="206"/>
      <c r="C95" s="363"/>
      <c r="D95" s="354"/>
      <c r="E95" s="354"/>
      <c r="F95" s="89">
        <v>2</v>
      </c>
      <c r="G95" s="89" t="s">
        <v>1763</v>
      </c>
      <c r="H95" s="89"/>
      <c r="I95" s="179"/>
      <c r="J95" s="179"/>
      <c r="K95" s="179"/>
      <c r="L95" s="179"/>
      <c r="M95" s="179"/>
    </row>
    <row r="96" spans="1:13">
      <c r="A96" s="179">
        <v>47</v>
      </c>
      <c r="B96" s="206"/>
      <c r="C96" s="197" t="s">
        <v>1894</v>
      </c>
      <c r="D96" s="179" t="s">
        <v>1895</v>
      </c>
      <c r="E96" s="179" t="s">
        <v>1896</v>
      </c>
      <c r="F96" s="89">
        <v>1</v>
      </c>
      <c r="G96" s="89" t="s">
        <v>1897</v>
      </c>
      <c r="H96" s="89"/>
      <c r="I96" s="179" t="s">
        <v>1898</v>
      </c>
      <c r="J96" s="234" t="s">
        <v>1899</v>
      </c>
      <c r="K96" s="357" t="s">
        <v>992</v>
      </c>
      <c r="L96" s="179" t="s">
        <v>1619</v>
      </c>
      <c r="M96" s="179"/>
    </row>
    <row r="97" spans="1:13">
      <c r="A97" s="179"/>
      <c r="B97" s="206"/>
      <c r="C97" s="197"/>
      <c r="D97" s="179"/>
      <c r="E97" s="179"/>
      <c r="F97" s="89">
        <v>2</v>
      </c>
      <c r="G97" s="89" t="s">
        <v>1900</v>
      </c>
      <c r="H97" s="89" t="s">
        <v>1736</v>
      </c>
      <c r="I97" s="179"/>
      <c r="J97" s="179"/>
      <c r="K97" s="179"/>
      <c r="L97" s="179"/>
      <c r="M97" s="179"/>
    </row>
    <row r="98" spans="1:13">
      <c r="A98" s="179">
        <v>48</v>
      </c>
      <c r="B98" s="206"/>
      <c r="C98" s="197" t="s">
        <v>1901</v>
      </c>
      <c r="D98" s="179" t="s">
        <v>1902</v>
      </c>
      <c r="E98" s="179" t="s">
        <v>1903</v>
      </c>
      <c r="F98" s="89">
        <v>1</v>
      </c>
      <c r="G98" s="89" t="s">
        <v>1904</v>
      </c>
      <c r="H98" s="89"/>
      <c r="I98" s="179" t="s">
        <v>1905</v>
      </c>
      <c r="J98" s="234" t="s">
        <v>1632</v>
      </c>
      <c r="K98" s="357" t="s">
        <v>992</v>
      </c>
      <c r="L98" s="179" t="s">
        <v>1619</v>
      </c>
      <c r="M98" s="179"/>
    </row>
    <row r="99" spans="1:13">
      <c r="A99" s="179"/>
      <c r="B99" s="206"/>
      <c r="C99" s="197"/>
      <c r="D99" s="179"/>
      <c r="E99" s="179"/>
      <c r="F99" s="89">
        <v>2</v>
      </c>
      <c r="G99" s="89" t="s">
        <v>1906</v>
      </c>
      <c r="H99" s="89" t="s">
        <v>1907</v>
      </c>
      <c r="I99" s="179"/>
      <c r="J99" s="179"/>
      <c r="K99" s="179"/>
      <c r="L99" s="179"/>
      <c r="M99" s="179"/>
    </row>
    <row r="100" spans="1:13">
      <c r="A100" s="179">
        <v>49</v>
      </c>
      <c r="B100" s="206"/>
      <c r="C100" s="197" t="s">
        <v>1908</v>
      </c>
      <c r="D100" s="179" t="s">
        <v>1909</v>
      </c>
      <c r="E100" s="179" t="s">
        <v>1910</v>
      </c>
      <c r="F100" s="89">
        <v>1</v>
      </c>
      <c r="G100" s="89" t="s">
        <v>1911</v>
      </c>
      <c r="H100" s="89"/>
      <c r="I100" s="179" t="s">
        <v>1912</v>
      </c>
      <c r="J100" s="234" t="s">
        <v>1632</v>
      </c>
      <c r="K100" s="357" t="s">
        <v>992</v>
      </c>
      <c r="L100" s="179" t="s">
        <v>1619</v>
      </c>
      <c r="M100" s="179"/>
    </row>
    <row r="101" spans="1:13">
      <c r="A101" s="179"/>
      <c r="B101" s="206"/>
      <c r="C101" s="197"/>
      <c r="D101" s="179"/>
      <c r="E101" s="179"/>
      <c r="F101" s="89">
        <v>2</v>
      </c>
      <c r="G101" s="89" t="s">
        <v>1913</v>
      </c>
      <c r="H101" s="89" t="s">
        <v>1914</v>
      </c>
      <c r="I101" s="179"/>
      <c r="J101" s="179"/>
      <c r="K101" s="179"/>
      <c r="L101" s="179"/>
      <c r="M101" s="179"/>
    </row>
    <row r="102" spans="1:13">
      <c r="A102" s="179">
        <v>50</v>
      </c>
      <c r="B102" s="206"/>
      <c r="C102" s="197" t="s">
        <v>1915</v>
      </c>
      <c r="D102" s="179" t="s">
        <v>1916</v>
      </c>
      <c r="E102" s="179" t="s">
        <v>1917</v>
      </c>
      <c r="F102" s="89">
        <v>1</v>
      </c>
      <c r="G102" s="89" t="s">
        <v>1918</v>
      </c>
      <c r="H102" s="89" t="s">
        <v>1919</v>
      </c>
      <c r="I102" s="179" t="s">
        <v>1920</v>
      </c>
      <c r="J102" s="234" t="s">
        <v>1632</v>
      </c>
      <c r="K102" s="357" t="s">
        <v>992</v>
      </c>
      <c r="L102" s="179" t="s">
        <v>1619</v>
      </c>
      <c r="M102" s="179"/>
    </row>
    <row r="103" spans="1:13">
      <c r="A103" s="179"/>
      <c r="B103" s="207"/>
      <c r="C103" s="197"/>
      <c r="D103" s="179"/>
      <c r="E103" s="179"/>
      <c r="F103" s="89">
        <v>2</v>
      </c>
      <c r="G103" s="89" t="s">
        <v>1921</v>
      </c>
      <c r="H103" s="89"/>
      <c r="I103" s="179"/>
      <c r="J103" s="179"/>
      <c r="K103" s="179"/>
      <c r="L103" s="179"/>
      <c r="M103" s="179"/>
    </row>
  </sheetData>
  <mergeCells count="456">
    <mergeCell ref="J96:J97"/>
    <mergeCell ref="K96:K97"/>
    <mergeCell ref="L96:L97"/>
    <mergeCell ref="J102:J103"/>
    <mergeCell ref="K102:K103"/>
    <mergeCell ref="L102:L103"/>
    <mergeCell ref="J98:J99"/>
    <mergeCell ref="K98:K99"/>
    <mergeCell ref="L98:L99"/>
    <mergeCell ref="J100:J101"/>
    <mergeCell ref="K100:K101"/>
    <mergeCell ref="L100:L101"/>
    <mergeCell ref="J94:J95"/>
    <mergeCell ref="K94:K95"/>
    <mergeCell ref="L94:L95"/>
    <mergeCell ref="J84:J85"/>
    <mergeCell ref="K84:K85"/>
    <mergeCell ref="L84:L85"/>
    <mergeCell ref="J86:J87"/>
    <mergeCell ref="K86:K87"/>
    <mergeCell ref="L86:L87"/>
    <mergeCell ref="J88:J89"/>
    <mergeCell ref="K88:K89"/>
    <mergeCell ref="L88:L89"/>
    <mergeCell ref="J90:J91"/>
    <mergeCell ref="K90:K91"/>
    <mergeCell ref="L90:L91"/>
    <mergeCell ref="J92:J93"/>
    <mergeCell ref="L74:L75"/>
    <mergeCell ref="K92:K93"/>
    <mergeCell ref="L92:L93"/>
    <mergeCell ref="J82:J83"/>
    <mergeCell ref="K82:K83"/>
    <mergeCell ref="L82:L83"/>
    <mergeCell ref="L62:L63"/>
    <mergeCell ref="J80:J81"/>
    <mergeCell ref="K80:K81"/>
    <mergeCell ref="L80:L81"/>
    <mergeCell ref="J70:J71"/>
    <mergeCell ref="K70:K71"/>
    <mergeCell ref="L70:L71"/>
    <mergeCell ref="J76:J77"/>
    <mergeCell ref="K76:K77"/>
    <mergeCell ref="L76:L77"/>
    <mergeCell ref="J78:J79"/>
    <mergeCell ref="K78:K79"/>
    <mergeCell ref="L78:L79"/>
    <mergeCell ref="J72:J73"/>
    <mergeCell ref="K72:K73"/>
    <mergeCell ref="L72:L73"/>
    <mergeCell ref="L50:L51"/>
    <mergeCell ref="J68:J69"/>
    <mergeCell ref="K68:K69"/>
    <mergeCell ref="L68:L69"/>
    <mergeCell ref="J58:J59"/>
    <mergeCell ref="K58:K59"/>
    <mergeCell ref="L58:L59"/>
    <mergeCell ref="J64:J65"/>
    <mergeCell ref="K64:K65"/>
    <mergeCell ref="L64:L65"/>
    <mergeCell ref="J66:J67"/>
    <mergeCell ref="K66:K67"/>
    <mergeCell ref="L66:L67"/>
    <mergeCell ref="J60:J61"/>
    <mergeCell ref="K60:K61"/>
    <mergeCell ref="L60:L61"/>
    <mergeCell ref="L37:L38"/>
    <mergeCell ref="J56:J57"/>
    <mergeCell ref="K56:K57"/>
    <mergeCell ref="L56:L57"/>
    <mergeCell ref="J46:J47"/>
    <mergeCell ref="K46:K47"/>
    <mergeCell ref="L46:L47"/>
    <mergeCell ref="J52:J53"/>
    <mergeCell ref="K52:K53"/>
    <mergeCell ref="L52:L53"/>
    <mergeCell ref="J54:J55"/>
    <mergeCell ref="K54:K55"/>
    <mergeCell ref="L54:L55"/>
    <mergeCell ref="J48:J49"/>
    <mergeCell ref="K48:K49"/>
    <mergeCell ref="L48:L49"/>
    <mergeCell ref="L29:L30"/>
    <mergeCell ref="J44:J45"/>
    <mergeCell ref="K44:K45"/>
    <mergeCell ref="L44:L45"/>
    <mergeCell ref="J33:J34"/>
    <mergeCell ref="K33:K34"/>
    <mergeCell ref="L33:L34"/>
    <mergeCell ref="J39:J40"/>
    <mergeCell ref="K39:K40"/>
    <mergeCell ref="L39:L40"/>
    <mergeCell ref="J41:J43"/>
    <mergeCell ref="K41:K43"/>
    <mergeCell ref="L41:L43"/>
    <mergeCell ref="J35:J36"/>
    <mergeCell ref="K35:K36"/>
    <mergeCell ref="L35:L36"/>
    <mergeCell ref="L17:L18"/>
    <mergeCell ref="J11:J12"/>
    <mergeCell ref="K27:K28"/>
    <mergeCell ref="L27:L28"/>
    <mergeCell ref="J19:J20"/>
    <mergeCell ref="K19:K20"/>
    <mergeCell ref="L19:L20"/>
    <mergeCell ref="J23:J24"/>
    <mergeCell ref="K23:K24"/>
    <mergeCell ref="L23:L24"/>
    <mergeCell ref="J25:J26"/>
    <mergeCell ref="K25:K26"/>
    <mergeCell ref="L25:L26"/>
    <mergeCell ref="J27:J28"/>
    <mergeCell ref="K13:K14"/>
    <mergeCell ref="L13:L14"/>
    <mergeCell ref="C86:C87"/>
    <mergeCell ref="D86:D87"/>
    <mergeCell ref="I41:I43"/>
    <mergeCell ref="J17:J18"/>
    <mergeCell ref="K17:K18"/>
    <mergeCell ref="J29:J30"/>
    <mergeCell ref="K29:K30"/>
    <mergeCell ref="J37:J38"/>
    <mergeCell ref="K37:K38"/>
    <mergeCell ref="J50:J51"/>
    <mergeCell ref="K50:K51"/>
    <mergeCell ref="J62:J63"/>
    <mergeCell ref="K62:K63"/>
    <mergeCell ref="J74:J75"/>
    <mergeCell ref="K74:K75"/>
    <mergeCell ref="E86:E87"/>
    <mergeCell ref="E88:E89"/>
    <mergeCell ref="C102:C103"/>
    <mergeCell ref="D102:D103"/>
    <mergeCell ref="E102:E103"/>
    <mergeCell ref="E96:E97"/>
    <mergeCell ref="C90:C91"/>
    <mergeCell ref="D90:D91"/>
    <mergeCell ref="E90:E91"/>
    <mergeCell ref="C92:C93"/>
    <mergeCell ref="D92:D93"/>
    <mergeCell ref="E92:E93"/>
    <mergeCell ref="D78:D79"/>
    <mergeCell ref="E78:E79"/>
    <mergeCell ref="B60:B103"/>
    <mergeCell ref="C98:C99"/>
    <mergeCell ref="D98:D99"/>
    <mergeCell ref="E98:E99"/>
    <mergeCell ref="C100:C101"/>
    <mergeCell ref="D100:D101"/>
    <mergeCell ref="E100:E101"/>
    <mergeCell ref="C94:C95"/>
    <mergeCell ref="D94:D95"/>
    <mergeCell ref="E94:E95"/>
    <mergeCell ref="C96:C97"/>
    <mergeCell ref="D96:D97"/>
    <mergeCell ref="C88:C89"/>
    <mergeCell ref="D88:D89"/>
    <mergeCell ref="C84:C85"/>
    <mergeCell ref="D84:D85"/>
    <mergeCell ref="E84:E85"/>
    <mergeCell ref="C74:C75"/>
    <mergeCell ref="D74:D75"/>
    <mergeCell ref="E74:E75"/>
    <mergeCell ref="C80:C81"/>
    <mergeCell ref="D80:D81"/>
    <mergeCell ref="E80:E81"/>
    <mergeCell ref="C82:C83"/>
    <mergeCell ref="D82:D83"/>
    <mergeCell ref="E82:E83"/>
    <mergeCell ref="C76:C77"/>
    <mergeCell ref="D76:D77"/>
    <mergeCell ref="E76:E77"/>
    <mergeCell ref="C78:C79"/>
    <mergeCell ref="C64:C65"/>
    <mergeCell ref="D64:D65"/>
    <mergeCell ref="E64:E65"/>
    <mergeCell ref="C66:C67"/>
    <mergeCell ref="D66:D67"/>
    <mergeCell ref="E66:E67"/>
    <mergeCell ref="C72:C73"/>
    <mergeCell ref="E52:E53"/>
    <mergeCell ref="C54:C55"/>
    <mergeCell ref="D54:D55"/>
    <mergeCell ref="E54:E55"/>
    <mergeCell ref="D72:D73"/>
    <mergeCell ref="E72:E73"/>
    <mergeCell ref="C62:C63"/>
    <mergeCell ref="D62:D63"/>
    <mergeCell ref="E62:E63"/>
    <mergeCell ref="C68:C69"/>
    <mergeCell ref="D68:D69"/>
    <mergeCell ref="E68:E69"/>
    <mergeCell ref="C70:C71"/>
    <mergeCell ref="D70:D71"/>
    <mergeCell ref="E70:E71"/>
    <mergeCell ref="D41:D43"/>
    <mergeCell ref="E41:E43"/>
    <mergeCell ref="C60:C61"/>
    <mergeCell ref="D60:D61"/>
    <mergeCell ref="E60:E61"/>
    <mergeCell ref="C50:C51"/>
    <mergeCell ref="D50:D51"/>
    <mergeCell ref="E50:E51"/>
    <mergeCell ref="C56:C57"/>
    <mergeCell ref="D56:D57"/>
    <mergeCell ref="E56:E57"/>
    <mergeCell ref="C58:C59"/>
    <mergeCell ref="D58:D59"/>
    <mergeCell ref="E58:E59"/>
    <mergeCell ref="C52:C53"/>
    <mergeCell ref="D52:D53"/>
    <mergeCell ref="C48:C49"/>
    <mergeCell ref="D48:D49"/>
    <mergeCell ref="E48:E49"/>
    <mergeCell ref="C37:C38"/>
    <mergeCell ref="D37:D38"/>
    <mergeCell ref="E37:E38"/>
    <mergeCell ref="C44:C45"/>
    <mergeCell ref="D44:D45"/>
    <mergeCell ref="E44:E45"/>
    <mergeCell ref="C46:C47"/>
    <mergeCell ref="D46:D47"/>
    <mergeCell ref="E46:E47"/>
    <mergeCell ref="C39:C40"/>
    <mergeCell ref="D39:D40"/>
    <mergeCell ref="E39:E40"/>
    <mergeCell ref="C41:C43"/>
    <mergeCell ref="D33:D34"/>
    <mergeCell ref="E33:E34"/>
    <mergeCell ref="C27:C28"/>
    <mergeCell ref="D27:D28"/>
    <mergeCell ref="E27:E28"/>
    <mergeCell ref="C29:C30"/>
    <mergeCell ref="D29:D30"/>
    <mergeCell ref="E29:E30"/>
    <mergeCell ref="D19:D20"/>
    <mergeCell ref="E19:E20"/>
    <mergeCell ref="C19:C20"/>
    <mergeCell ref="C35:C36"/>
    <mergeCell ref="D35:D36"/>
    <mergeCell ref="E35:E36"/>
    <mergeCell ref="E23:E24"/>
    <mergeCell ref="C25:C26"/>
    <mergeCell ref="D25:D26"/>
    <mergeCell ref="E25:E26"/>
    <mergeCell ref="C23:C24"/>
    <mergeCell ref="D23:D24"/>
    <mergeCell ref="C31:C32"/>
    <mergeCell ref="D31:D32"/>
    <mergeCell ref="E31:E32"/>
    <mergeCell ref="C33:C34"/>
    <mergeCell ref="D15:D16"/>
    <mergeCell ref="E15:E16"/>
    <mergeCell ref="C17:C18"/>
    <mergeCell ref="D17:D18"/>
    <mergeCell ref="E17:E18"/>
    <mergeCell ref="A84:A85"/>
    <mergeCell ref="C5:C6"/>
    <mergeCell ref="D5:D6"/>
    <mergeCell ref="E5:E6"/>
    <mergeCell ref="C7:C8"/>
    <mergeCell ref="D7:D8"/>
    <mergeCell ref="E7:E8"/>
    <mergeCell ref="C9:C10"/>
    <mergeCell ref="D9:D10"/>
    <mergeCell ref="E9:E10"/>
    <mergeCell ref="C11:C12"/>
    <mergeCell ref="D11:D12"/>
    <mergeCell ref="E11:E12"/>
    <mergeCell ref="C13:C14"/>
    <mergeCell ref="D13:D14"/>
    <mergeCell ref="C15:C16"/>
    <mergeCell ref="A74:A75"/>
    <mergeCell ref="A76:A77"/>
    <mergeCell ref="A78:A79"/>
    <mergeCell ref="A80:A81"/>
    <mergeCell ref="A82:A83"/>
    <mergeCell ref="A64:A65"/>
    <mergeCell ref="A66:A67"/>
    <mergeCell ref="A68:A69"/>
    <mergeCell ref="A70:A71"/>
    <mergeCell ref="A72:A73"/>
    <mergeCell ref="A102:A103"/>
    <mergeCell ref="A86:A87"/>
    <mergeCell ref="A88:A89"/>
    <mergeCell ref="A90:A91"/>
    <mergeCell ref="A92:A93"/>
    <mergeCell ref="A94:A95"/>
    <mergeCell ref="A96:A97"/>
    <mergeCell ref="A98:A99"/>
    <mergeCell ref="A100:A101"/>
    <mergeCell ref="C21:C22"/>
    <mergeCell ref="D21:D22"/>
    <mergeCell ref="A60:A61"/>
    <mergeCell ref="A62:A63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B3:B59"/>
    <mergeCell ref="A5:A6"/>
    <mergeCell ref="A7:A8"/>
    <mergeCell ref="A9:A10"/>
    <mergeCell ref="A11:A12"/>
    <mergeCell ref="A13:A14"/>
    <mergeCell ref="A58:A59"/>
    <mergeCell ref="A39:A40"/>
    <mergeCell ref="A41:A43"/>
    <mergeCell ref="A44:A45"/>
    <mergeCell ref="A46:A47"/>
    <mergeCell ref="A48:A49"/>
    <mergeCell ref="A50:A51"/>
    <mergeCell ref="A52:A53"/>
    <mergeCell ref="A54:A55"/>
    <mergeCell ref="A56:A57"/>
    <mergeCell ref="M13:M14"/>
    <mergeCell ref="E21:E22"/>
    <mergeCell ref="J13:J14"/>
    <mergeCell ref="K1:K2"/>
    <mergeCell ref="L1:L2"/>
    <mergeCell ref="M1:M2"/>
    <mergeCell ref="A2:J2"/>
    <mergeCell ref="A3:A4"/>
    <mergeCell ref="C3:C4"/>
    <mergeCell ref="D3:D4"/>
    <mergeCell ref="E3:E4"/>
    <mergeCell ref="I3:I4"/>
    <mergeCell ref="J3:J4"/>
    <mergeCell ref="K3:K4"/>
    <mergeCell ref="L3:L4"/>
    <mergeCell ref="M3:M4"/>
    <mergeCell ref="E13:E14"/>
    <mergeCell ref="M33:M34"/>
    <mergeCell ref="M15:M16"/>
    <mergeCell ref="M17:M18"/>
    <mergeCell ref="M19:M20"/>
    <mergeCell ref="M21:M22"/>
    <mergeCell ref="M23:M24"/>
    <mergeCell ref="L21:L22"/>
    <mergeCell ref="J31:J32"/>
    <mergeCell ref="K31:K32"/>
    <mergeCell ref="L31:L32"/>
    <mergeCell ref="J15:J16"/>
    <mergeCell ref="K15:K16"/>
    <mergeCell ref="L15:L16"/>
    <mergeCell ref="I25:I26"/>
    <mergeCell ref="I27:I28"/>
    <mergeCell ref="M5:M6"/>
    <mergeCell ref="M7:M8"/>
    <mergeCell ref="M9:M10"/>
    <mergeCell ref="M11:M12"/>
    <mergeCell ref="K11:K12"/>
    <mergeCell ref="L11:L12"/>
    <mergeCell ref="I5:I6"/>
    <mergeCell ref="M25:M26"/>
    <mergeCell ref="M27:M28"/>
    <mergeCell ref="M29:M30"/>
    <mergeCell ref="M31:M32"/>
    <mergeCell ref="J9:J10"/>
    <mergeCell ref="K9:K10"/>
    <mergeCell ref="L9:L10"/>
    <mergeCell ref="J5:J6"/>
    <mergeCell ref="K5:K6"/>
    <mergeCell ref="L5:L6"/>
    <mergeCell ref="J7:J8"/>
    <mergeCell ref="K7:K8"/>
    <mergeCell ref="L7:L8"/>
    <mergeCell ref="J21:J22"/>
    <mergeCell ref="K21:K22"/>
    <mergeCell ref="M56:M57"/>
    <mergeCell ref="M58:M59"/>
    <mergeCell ref="M60:M61"/>
    <mergeCell ref="M62:M63"/>
    <mergeCell ref="M64:M65"/>
    <mergeCell ref="M46:M47"/>
    <mergeCell ref="M48:M49"/>
    <mergeCell ref="M50:M51"/>
    <mergeCell ref="M52:M53"/>
    <mergeCell ref="M54:M55"/>
    <mergeCell ref="M100:M101"/>
    <mergeCell ref="M102:M103"/>
    <mergeCell ref="M78:M79"/>
    <mergeCell ref="M80:M81"/>
    <mergeCell ref="M82:M83"/>
    <mergeCell ref="M84:M85"/>
    <mergeCell ref="M86:M87"/>
    <mergeCell ref="M88:M89"/>
    <mergeCell ref="M90:M91"/>
    <mergeCell ref="M92:M93"/>
    <mergeCell ref="M94:M95"/>
    <mergeCell ref="I29:I30"/>
    <mergeCell ref="M96:M97"/>
    <mergeCell ref="M98:M99"/>
    <mergeCell ref="M66:M67"/>
    <mergeCell ref="M68:M69"/>
    <mergeCell ref="M70:M71"/>
    <mergeCell ref="M72:M73"/>
    <mergeCell ref="M76:M77"/>
    <mergeCell ref="M74:M75"/>
    <mergeCell ref="M35:M36"/>
    <mergeCell ref="M37:M38"/>
    <mergeCell ref="M39:M40"/>
    <mergeCell ref="M41:M43"/>
    <mergeCell ref="M44:M45"/>
    <mergeCell ref="I90:I91"/>
    <mergeCell ref="I92:I93"/>
    <mergeCell ref="I48:I49"/>
    <mergeCell ref="I50:I51"/>
    <mergeCell ref="I52:I53"/>
    <mergeCell ref="I68:I69"/>
    <mergeCell ref="I70:I71"/>
    <mergeCell ref="I86:I87"/>
    <mergeCell ref="I88:I89"/>
    <mergeCell ref="I54:I55"/>
    <mergeCell ref="I56:I57"/>
    <mergeCell ref="I58:I59"/>
    <mergeCell ref="I60:I61"/>
    <mergeCell ref="I62:I63"/>
    <mergeCell ref="I64:I65"/>
    <mergeCell ref="I66:I67"/>
    <mergeCell ref="I78:I79"/>
    <mergeCell ref="I80:I81"/>
    <mergeCell ref="I82:I83"/>
    <mergeCell ref="I84:I85"/>
    <mergeCell ref="I72:I73"/>
    <mergeCell ref="I74:I75"/>
    <mergeCell ref="I76:I77"/>
    <mergeCell ref="I7:I8"/>
    <mergeCell ref="I9:I10"/>
    <mergeCell ref="I11:I12"/>
    <mergeCell ref="I44:I45"/>
    <mergeCell ref="I46:I47"/>
    <mergeCell ref="I31:I32"/>
    <mergeCell ref="I33:I34"/>
    <mergeCell ref="I35:I36"/>
    <mergeCell ref="I37:I38"/>
    <mergeCell ref="I39:I40"/>
    <mergeCell ref="I13:I14"/>
    <mergeCell ref="I15:I16"/>
    <mergeCell ref="I17:I18"/>
    <mergeCell ref="I19:I20"/>
    <mergeCell ref="I21:I22"/>
    <mergeCell ref="I23:I24"/>
    <mergeCell ref="I94:I95"/>
    <mergeCell ref="I96:I97"/>
    <mergeCell ref="I98:I99"/>
    <mergeCell ref="I100:I101"/>
    <mergeCell ref="I102:I103"/>
  </mergeCells>
  <hyperlinks>
    <hyperlink ref="H17" r:id="rId1" xr:uid="{00000000-0004-0000-0900-000000000000}"/>
  </hyperlink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E141-A55A-40EE-9A0F-16ACB4953BD7}">
  <dimension ref="A1:M39"/>
  <sheetViews>
    <sheetView tabSelected="1" topLeftCell="H56" workbookViewId="0">
      <selection activeCell="K9" sqref="K9:K10"/>
    </sheetView>
  </sheetViews>
  <sheetFormatPr defaultRowHeight="15"/>
  <cols>
    <col min="1" max="1" width="13" customWidth="1"/>
    <col min="2" max="2" width="21.7109375" customWidth="1"/>
    <col min="3" max="3" width="29" customWidth="1"/>
    <col min="4" max="4" width="47.7109375" customWidth="1"/>
    <col min="5" max="5" width="29" customWidth="1"/>
    <col min="6" max="6" width="14" customWidth="1"/>
    <col min="7" max="7" width="54.5703125" customWidth="1"/>
    <col min="8" max="8" width="29" customWidth="1"/>
    <col min="9" max="9" width="69.42578125" customWidth="1"/>
    <col min="10" max="10" width="53" customWidth="1"/>
    <col min="11" max="13" width="29" customWidth="1"/>
  </cols>
  <sheetData>
    <row r="1" spans="1:13" ht="28.5">
      <c r="A1" s="17" t="s">
        <v>222</v>
      </c>
      <c r="B1" s="18" t="s">
        <v>62</v>
      </c>
      <c r="C1" s="19" t="s">
        <v>480</v>
      </c>
      <c r="D1" s="19" t="s">
        <v>481</v>
      </c>
      <c r="E1" s="19" t="s">
        <v>639</v>
      </c>
      <c r="F1" s="20" t="s">
        <v>483</v>
      </c>
      <c r="G1" s="19" t="s">
        <v>484</v>
      </c>
      <c r="H1" s="19" t="s">
        <v>485</v>
      </c>
      <c r="I1" s="19" t="s">
        <v>486</v>
      </c>
      <c r="J1" s="21" t="s">
        <v>640</v>
      </c>
      <c r="K1" s="251" t="s">
        <v>488</v>
      </c>
      <c r="L1" s="240" t="s">
        <v>489</v>
      </c>
      <c r="M1" s="242" t="s">
        <v>69</v>
      </c>
    </row>
    <row r="2" spans="1:13" ht="20.25">
      <c r="A2" s="213" t="s">
        <v>49</v>
      </c>
      <c r="B2" s="213"/>
      <c r="C2" s="213"/>
      <c r="D2" s="213"/>
      <c r="E2" s="213"/>
      <c r="F2" s="213"/>
      <c r="G2" s="213"/>
      <c r="H2" s="213"/>
      <c r="I2" s="213"/>
      <c r="J2" s="244"/>
      <c r="K2" s="367"/>
      <c r="L2" s="279"/>
      <c r="M2" s="283"/>
    </row>
    <row r="3" spans="1:13">
      <c r="A3" s="234">
        <v>1</v>
      </c>
      <c r="B3" s="255" t="s">
        <v>1922</v>
      </c>
      <c r="C3" s="264" t="s">
        <v>1923</v>
      </c>
      <c r="D3" s="234" t="s">
        <v>1924</v>
      </c>
      <c r="E3" s="234" t="s">
        <v>850</v>
      </c>
      <c r="F3" s="82">
        <v>1</v>
      </c>
      <c r="G3" s="85" t="s">
        <v>1925</v>
      </c>
      <c r="H3" s="85" t="s">
        <v>1926</v>
      </c>
      <c r="I3" s="239" t="s">
        <v>1927</v>
      </c>
      <c r="J3" s="234" t="s">
        <v>1928</v>
      </c>
      <c r="K3" s="365" t="s">
        <v>992</v>
      </c>
      <c r="L3" s="234" t="s">
        <v>1929</v>
      </c>
      <c r="M3" s="366"/>
    </row>
    <row r="4" spans="1:13">
      <c r="A4" s="234"/>
      <c r="B4" s="256"/>
      <c r="C4" s="264"/>
      <c r="D4" s="234"/>
      <c r="E4" s="234"/>
      <c r="F4" s="82">
        <v>2</v>
      </c>
      <c r="G4" s="85" t="s">
        <v>1930</v>
      </c>
      <c r="H4" s="85"/>
      <c r="I4" s="195"/>
      <c r="J4" s="234"/>
      <c r="K4" s="234"/>
      <c r="L4" s="234"/>
      <c r="M4" s="234"/>
    </row>
    <row r="5" spans="1:13">
      <c r="A5" s="234">
        <v>2</v>
      </c>
      <c r="B5" s="256"/>
      <c r="C5" s="264" t="s">
        <v>1931</v>
      </c>
      <c r="D5" s="234" t="s">
        <v>1932</v>
      </c>
      <c r="E5" s="234" t="s">
        <v>1933</v>
      </c>
      <c r="F5" s="82">
        <v>1</v>
      </c>
      <c r="G5" s="85" t="s">
        <v>1934</v>
      </c>
      <c r="H5" s="85" t="s">
        <v>1926</v>
      </c>
      <c r="I5" s="238" t="s">
        <v>1935</v>
      </c>
      <c r="J5" s="234" t="s">
        <v>1936</v>
      </c>
      <c r="K5" s="365" t="s">
        <v>992</v>
      </c>
      <c r="L5" s="234" t="s">
        <v>1929</v>
      </c>
      <c r="M5" s="366"/>
    </row>
    <row r="6" spans="1:13">
      <c r="A6" s="234"/>
      <c r="B6" s="256"/>
      <c r="C6" s="264"/>
      <c r="D6" s="234"/>
      <c r="E6" s="234"/>
      <c r="F6" s="82">
        <v>2</v>
      </c>
      <c r="G6" s="85" t="s">
        <v>1937</v>
      </c>
      <c r="H6" s="85"/>
      <c r="I6" s="195"/>
      <c r="J6" s="234"/>
      <c r="K6" s="234"/>
      <c r="L6" s="234"/>
      <c r="M6" s="234"/>
    </row>
    <row r="7" spans="1:13">
      <c r="A7" s="234">
        <v>3</v>
      </c>
      <c r="B7" s="256"/>
      <c r="C7" s="264" t="s">
        <v>1938</v>
      </c>
      <c r="D7" s="234" t="s">
        <v>1939</v>
      </c>
      <c r="E7" s="234" t="s">
        <v>1940</v>
      </c>
      <c r="F7" s="82">
        <v>1</v>
      </c>
      <c r="G7" s="85" t="s">
        <v>1941</v>
      </c>
      <c r="H7" s="85" t="s">
        <v>1926</v>
      </c>
      <c r="I7" s="238" t="s">
        <v>1942</v>
      </c>
      <c r="J7" s="234" t="s">
        <v>1943</v>
      </c>
      <c r="K7" s="365" t="s">
        <v>992</v>
      </c>
      <c r="L7" s="234" t="s">
        <v>1929</v>
      </c>
      <c r="M7" s="234"/>
    </row>
    <row r="8" spans="1:13">
      <c r="A8" s="234"/>
      <c r="B8" s="256"/>
      <c r="C8" s="264"/>
      <c r="D8" s="234"/>
      <c r="E8" s="234"/>
      <c r="F8" s="82">
        <v>2</v>
      </c>
      <c r="G8" s="85" t="s">
        <v>1944</v>
      </c>
      <c r="H8" s="85"/>
      <c r="I8" s="195"/>
      <c r="J8" s="234"/>
      <c r="K8" s="234"/>
      <c r="L8" s="234"/>
      <c r="M8" s="234"/>
    </row>
    <row r="9" spans="1:13">
      <c r="A9" s="234">
        <v>4</v>
      </c>
      <c r="B9" s="256"/>
      <c r="C9" s="264" t="s">
        <v>1945</v>
      </c>
      <c r="D9" s="234" t="s">
        <v>1946</v>
      </c>
      <c r="E9" s="234" t="s">
        <v>1947</v>
      </c>
      <c r="F9" s="82">
        <v>1</v>
      </c>
      <c r="G9" s="85" t="s">
        <v>1948</v>
      </c>
      <c r="H9" s="85" t="s">
        <v>1949</v>
      </c>
      <c r="I9" s="81" t="s">
        <v>1950</v>
      </c>
      <c r="J9" s="234" t="s">
        <v>1951</v>
      </c>
      <c r="K9" s="365" t="s">
        <v>992</v>
      </c>
      <c r="L9" s="234" t="s">
        <v>1929</v>
      </c>
      <c r="M9" s="234"/>
    </row>
    <row r="10" spans="1:13" ht="30">
      <c r="A10" s="234"/>
      <c r="B10" s="256"/>
      <c r="C10" s="264"/>
      <c r="D10" s="234"/>
      <c r="E10" s="234"/>
      <c r="F10" s="82">
        <v>2</v>
      </c>
      <c r="G10" s="85" t="s">
        <v>1952</v>
      </c>
      <c r="H10" s="85"/>
      <c r="I10" s="81" t="s">
        <v>1953</v>
      </c>
      <c r="J10" s="234"/>
      <c r="K10" s="234"/>
      <c r="L10" s="234"/>
      <c r="M10" s="234"/>
    </row>
    <row r="11" spans="1:13">
      <c r="A11" s="234">
        <v>5</v>
      </c>
      <c r="B11" s="256"/>
      <c r="C11" s="264" t="s">
        <v>1954</v>
      </c>
      <c r="D11" s="234" t="s">
        <v>1955</v>
      </c>
      <c r="E11" s="234" t="s">
        <v>1947</v>
      </c>
      <c r="F11" s="82">
        <v>1</v>
      </c>
      <c r="G11" s="85" t="s">
        <v>1956</v>
      </c>
      <c r="H11" s="85" t="s">
        <v>1957</v>
      </c>
      <c r="I11" s="81" t="s">
        <v>1958</v>
      </c>
      <c r="J11" s="234" t="s">
        <v>1959</v>
      </c>
      <c r="K11" s="365" t="s">
        <v>992</v>
      </c>
      <c r="L11" s="234" t="s">
        <v>1929</v>
      </c>
      <c r="M11" s="234"/>
    </row>
    <row r="12" spans="1:13" ht="30">
      <c r="A12" s="234"/>
      <c r="B12" s="256"/>
      <c r="C12" s="264"/>
      <c r="D12" s="234"/>
      <c r="E12" s="234"/>
      <c r="F12" s="82">
        <v>2</v>
      </c>
      <c r="G12" s="85" t="s">
        <v>1952</v>
      </c>
      <c r="H12" s="85"/>
      <c r="I12" s="81" t="s">
        <v>1960</v>
      </c>
      <c r="J12" s="234"/>
      <c r="K12" s="234"/>
      <c r="L12" s="234"/>
      <c r="M12" s="234"/>
    </row>
    <row r="13" spans="1:13">
      <c r="A13" s="234">
        <v>6</v>
      </c>
      <c r="B13" s="255" t="s">
        <v>1961</v>
      </c>
      <c r="C13" s="264" t="s">
        <v>928</v>
      </c>
      <c r="D13" s="234" t="s">
        <v>1962</v>
      </c>
      <c r="E13" s="234" t="s">
        <v>1963</v>
      </c>
      <c r="F13" s="82">
        <v>1</v>
      </c>
      <c r="G13" s="85" t="s">
        <v>1964</v>
      </c>
      <c r="H13" s="85" t="s">
        <v>945</v>
      </c>
      <c r="I13" s="202" t="s">
        <v>1965</v>
      </c>
      <c r="J13" s="234" t="s">
        <v>1966</v>
      </c>
      <c r="K13" s="365" t="s">
        <v>992</v>
      </c>
      <c r="L13" s="234" t="s">
        <v>1929</v>
      </c>
      <c r="M13" s="234"/>
    </row>
    <row r="14" spans="1:13">
      <c r="A14" s="234"/>
      <c r="B14" s="256"/>
      <c r="C14" s="264"/>
      <c r="D14" s="234"/>
      <c r="E14" s="234"/>
      <c r="F14" s="82">
        <v>2</v>
      </c>
      <c r="G14" s="85" t="s">
        <v>1967</v>
      </c>
      <c r="H14" s="85"/>
      <c r="I14" s="204"/>
      <c r="J14" s="234"/>
      <c r="K14" s="234"/>
      <c r="L14" s="234"/>
      <c r="M14" s="234"/>
    </row>
    <row r="15" spans="1:13">
      <c r="A15" s="234">
        <v>7</v>
      </c>
      <c r="B15" s="256"/>
      <c r="C15" s="264" t="s">
        <v>934</v>
      </c>
      <c r="D15" s="234" t="s">
        <v>1968</v>
      </c>
      <c r="E15" s="234" t="s">
        <v>1963</v>
      </c>
      <c r="F15" s="82">
        <v>1</v>
      </c>
      <c r="G15" s="85" t="s">
        <v>1969</v>
      </c>
      <c r="H15" s="85" t="s">
        <v>1970</v>
      </c>
      <c r="I15" s="202" t="s">
        <v>1971</v>
      </c>
      <c r="J15" s="234" t="s">
        <v>1972</v>
      </c>
      <c r="K15" s="365" t="s">
        <v>992</v>
      </c>
      <c r="L15" s="234" t="s">
        <v>1929</v>
      </c>
      <c r="M15" s="234"/>
    </row>
    <row r="16" spans="1:13">
      <c r="A16" s="234"/>
      <c r="B16" s="256"/>
      <c r="C16" s="264"/>
      <c r="D16" s="234"/>
      <c r="E16" s="234"/>
      <c r="F16" s="82">
        <v>2</v>
      </c>
      <c r="G16" s="85" t="s">
        <v>1973</v>
      </c>
      <c r="H16" s="85"/>
      <c r="I16" s="204"/>
      <c r="J16" s="234"/>
      <c r="K16" s="234"/>
      <c r="L16" s="234"/>
      <c r="M16" s="234"/>
    </row>
    <row r="17" spans="1:13" ht="30">
      <c r="A17" s="234">
        <v>8</v>
      </c>
      <c r="B17" s="256"/>
      <c r="C17" s="264" t="s">
        <v>941</v>
      </c>
      <c r="D17" s="234" t="s">
        <v>1974</v>
      </c>
      <c r="E17" s="234" t="s">
        <v>1975</v>
      </c>
      <c r="F17" s="82">
        <v>1</v>
      </c>
      <c r="G17" s="85" t="s">
        <v>1976</v>
      </c>
      <c r="H17" s="85" t="s">
        <v>1977</v>
      </c>
      <c r="I17" s="202" t="s">
        <v>1965</v>
      </c>
      <c r="J17" s="234" t="s">
        <v>1978</v>
      </c>
      <c r="K17" s="368" t="s">
        <v>497</v>
      </c>
      <c r="L17" s="234" t="s">
        <v>1929</v>
      </c>
      <c r="M17" s="366" t="str">
        <f>HYPERLINK("D:\User\Videos\RaoVat_AutomationTesting\Screenshots\PP03.png", "Xem ảnh lỗi")</f>
        <v>Xem ảnh lỗi</v>
      </c>
    </row>
    <row r="18" spans="1:13">
      <c r="A18" s="234"/>
      <c r="B18" s="256"/>
      <c r="C18" s="264"/>
      <c r="D18" s="234"/>
      <c r="E18" s="234"/>
      <c r="F18" s="82">
        <v>2</v>
      </c>
      <c r="G18" s="85" t="s">
        <v>1979</v>
      </c>
      <c r="H18" s="85"/>
      <c r="I18" s="204"/>
      <c r="J18" s="234"/>
      <c r="K18" s="234"/>
      <c r="L18" s="234"/>
      <c r="M18" s="234"/>
    </row>
    <row r="19" spans="1:13">
      <c r="A19" s="234">
        <v>9</v>
      </c>
      <c r="B19" s="256"/>
      <c r="C19" s="264" t="s">
        <v>947</v>
      </c>
      <c r="D19" s="234" t="s">
        <v>1980</v>
      </c>
      <c r="E19" s="234" t="s">
        <v>1981</v>
      </c>
      <c r="F19" s="82">
        <v>1</v>
      </c>
      <c r="G19" s="85" t="s">
        <v>1982</v>
      </c>
      <c r="H19" s="85" t="s">
        <v>1983</v>
      </c>
      <c r="I19" s="81" t="s">
        <v>1984</v>
      </c>
      <c r="J19" s="234" t="s">
        <v>1985</v>
      </c>
      <c r="K19" s="365" t="s">
        <v>992</v>
      </c>
      <c r="L19" s="234" t="s">
        <v>1929</v>
      </c>
      <c r="M19" s="366"/>
    </row>
    <row r="20" spans="1:13" ht="30">
      <c r="A20" s="234"/>
      <c r="B20" s="256"/>
      <c r="C20" s="264"/>
      <c r="D20" s="234"/>
      <c r="E20" s="234"/>
      <c r="F20" s="82">
        <v>2</v>
      </c>
      <c r="G20" s="85" t="s">
        <v>1986</v>
      </c>
      <c r="H20" s="85" t="s">
        <v>1987</v>
      </c>
      <c r="I20" s="81" t="s">
        <v>1988</v>
      </c>
      <c r="J20" s="234"/>
      <c r="K20" s="234"/>
      <c r="L20" s="234"/>
      <c r="M20" s="234"/>
    </row>
    <row r="21" spans="1:13">
      <c r="A21" s="234">
        <v>10</v>
      </c>
      <c r="B21" s="256"/>
      <c r="C21" s="264" t="s">
        <v>953</v>
      </c>
      <c r="D21" s="234" t="s">
        <v>1989</v>
      </c>
      <c r="E21" s="234" t="s">
        <v>1975</v>
      </c>
      <c r="F21" s="82">
        <v>1</v>
      </c>
      <c r="G21" s="85" t="s">
        <v>1990</v>
      </c>
      <c r="H21" s="85" t="s">
        <v>1218</v>
      </c>
      <c r="I21" s="81" t="s">
        <v>1991</v>
      </c>
      <c r="J21" s="234" t="s">
        <v>1992</v>
      </c>
      <c r="K21" s="365" t="s">
        <v>992</v>
      </c>
      <c r="L21" s="234" t="s">
        <v>1929</v>
      </c>
      <c r="M21" s="234"/>
    </row>
    <row r="22" spans="1:13">
      <c r="A22" s="234"/>
      <c r="B22" s="256"/>
      <c r="C22" s="264"/>
      <c r="D22" s="234"/>
      <c r="E22" s="234"/>
      <c r="F22" s="82">
        <v>2</v>
      </c>
      <c r="G22" s="85" t="s">
        <v>1993</v>
      </c>
      <c r="H22" s="85"/>
      <c r="I22" s="81" t="s">
        <v>1994</v>
      </c>
      <c r="J22" s="234"/>
      <c r="K22" s="234"/>
      <c r="L22" s="234"/>
      <c r="M22" s="234"/>
    </row>
    <row r="23" spans="1:13">
      <c r="A23" s="234">
        <v>11</v>
      </c>
      <c r="B23" s="256"/>
      <c r="C23" s="264" t="s">
        <v>957</v>
      </c>
      <c r="D23" s="234" t="s">
        <v>1995</v>
      </c>
      <c r="E23" s="234" t="s">
        <v>1963</v>
      </c>
      <c r="F23" s="82">
        <v>1</v>
      </c>
      <c r="G23" s="85" t="s">
        <v>1996</v>
      </c>
      <c r="H23" s="85" t="s">
        <v>1997</v>
      </c>
      <c r="I23" s="202" t="s">
        <v>1998</v>
      </c>
      <c r="J23" s="234" t="s">
        <v>1999</v>
      </c>
      <c r="K23" s="368" t="s">
        <v>497</v>
      </c>
      <c r="L23" s="234" t="s">
        <v>1929</v>
      </c>
      <c r="M23" s="366" t="str">
        <f>HYPERLINK("D:\User\Videos\RaoVat_AutomationTesting\Screenshots\PP06.png", "Xem ảnh lỗi")</f>
        <v>Xem ảnh lỗi</v>
      </c>
    </row>
    <row r="24" spans="1:13">
      <c r="A24" s="234"/>
      <c r="B24" s="256"/>
      <c r="C24" s="264"/>
      <c r="D24" s="234"/>
      <c r="E24" s="234"/>
      <c r="F24" s="82">
        <v>2</v>
      </c>
      <c r="G24" s="85" t="s">
        <v>2000</v>
      </c>
      <c r="H24" s="85"/>
      <c r="I24" s="204"/>
      <c r="J24" s="234"/>
      <c r="K24" s="234"/>
      <c r="L24" s="234"/>
      <c r="M24" s="234"/>
    </row>
    <row r="25" spans="1:13">
      <c r="A25" s="234">
        <v>12</v>
      </c>
      <c r="B25" s="256"/>
      <c r="C25" s="264" t="s">
        <v>963</v>
      </c>
      <c r="D25" s="234" t="s">
        <v>2001</v>
      </c>
      <c r="E25" s="234" t="s">
        <v>1963</v>
      </c>
      <c r="F25" s="82">
        <v>1</v>
      </c>
      <c r="G25" s="85" t="s">
        <v>2002</v>
      </c>
      <c r="H25" s="85" t="s">
        <v>2003</v>
      </c>
      <c r="I25" s="81" t="s">
        <v>2004</v>
      </c>
      <c r="J25" s="234" t="s">
        <v>2005</v>
      </c>
      <c r="K25" s="365" t="s">
        <v>992</v>
      </c>
      <c r="L25" s="234" t="s">
        <v>1929</v>
      </c>
      <c r="M25" s="234"/>
    </row>
    <row r="26" spans="1:13">
      <c r="A26" s="234"/>
      <c r="B26" s="256"/>
      <c r="C26" s="264"/>
      <c r="D26" s="234"/>
      <c r="E26" s="234"/>
      <c r="F26" s="82">
        <v>2</v>
      </c>
      <c r="G26" s="85" t="s">
        <v>2006</v>
      </c>
      <c r="H26" s="85"/>
      <c r="I26" s="81" t="s">
        <v>2007</v>
      </c>
      <c r="J26" s="234"/>
      <c r="K26" s="234"/>
      <c r="L26" s="234"/>
      <c r="M26" s="234"/>
    </row>
    <row r="27" spans="1:13" ht="30">
      <c r="A27" s="202">
        <v>13</v>
      </c>
      <c r="B27" s="256"/>
      <c r="C27" s="264" t="s">
        <v>967</v>
      </c>
      <c r="D27" s="234" t="s">
        <v>2008</v>
      </c>
      <c r="E27" s="234" t="s">
        <v>1975</v>
      </c>
      <c r="F27" s="82">
        <v>1</v>
      </c>
      <c r="G27" s="85" t="s">
        <v>2009</v>
      </c>
      <c r="H27" s="85" t="s">
        <v>2010</v>
      </c>
      <c r="I27" s="81" t="s">
        <v>2011</v>
      </c>
      <c r="J27" s="234" t="s">
        <v>2012</v>
      </c>
      <c r="K27" s="365" t="s">
        <v>992</v>
      </c>
      <c r="L27" s="234" t="s">
        <v>1929</v>
      </c>
      <c r="M27" s="366"/>
    </row>
    <row r="28" spans="1:13" ht="30">
      <c r="A28" s="203"/>
      <c r="B28" s="256"/>
      <c r="C28" s="264"/>
      <c r="D28" s="234"/>
      <c r="E28" s="234"/>
      <c r="F28" s="82">
        <v>2</v>
      </c>
      <c r="G28" s="85" t="s">
        <v>2013</v>
      </c>
      <c r="H28" s="85" t="s">
        <v>2014</v>
      </c>
      <c r="I28" s="81" t="s">
        <v>2015</v>
      </c>
      <c r="J28" s="234"/>
      <c r="K28" s="234"/>
      <c r="L28" s="234"/>
      <c r="M28" s="234"/>
    </row>
    <row r="29" spans="1:13">
      <c r="A29" s="204"/>
      <c r="B29" s="256"/>
      <c r="C29" s="264"/>
      <c r="D29" s="234"/>
      <c r="E29" s="234"/>
      <c r="F29" s="82">
        <v>3</v>
      </c>
      <c r="G29" s="85" t="s">
        <v>2016</v>
      </c>
      <c r="H29" s="85" t="s">
        <v>2017</v>
      </c>
      <c r="I29" s="81" t="s">
        <v>2018</v>
      </c>
      <c r="J29" s="234"/>
      <c r="K29" s="234"/>
      <c r="L29" s="234"/>
      <c r="M29" s="234"/>
    </row>
    <row r="30" spans="1:13" ht="30">
      <c r="A30" s="202">
        <v>14</v>
      </c>
      <c r="B30" s="256"/>
      <c r="C30" s="264" t="s">
        <v>972</v>
      </c>
      <c r="D30" s="234" t="s">
        <v>2019</v>
      </c>
      <c r="E30" s="234" t="s">
        <v>1975</v>
      </c>
      <c r="F30" s="82">
        <v>1</v>
      </c>
      <c r="G30" s="85" t="s">
        <v>2020</v>
      </c>
      <c r="H30" s="85" t="s">
        <v>2010</v>
      </c>
      <c r="I30" s="81" t="s">
        <v>2011</v>
      </c>
      <c r="J30" s="234" t="s">
        <v>2021</v>
      </c>
      <c r="K30" s="368" t="s">
        <v>497</v>
      </c>
      <c r="L30" s="234" t="s">
        <v>1929</v>
      </c>
      <c r="M30" s="366" t="str">
        <f>HYPERLINK("D:\User\Videos\RaoVat_AutomationTesting\Screenshots\PP09.png", "Xem ảnh lỗi")</f>
        <v>Xem ảnh lỗi</v>
      </c>
    </row>
    <row r="31" spans="1:13">
      <c r="A31" s="203"/>
      <c r="B31" s="256"/>
      <c r="C31" s="264"/>
      <c r="D31" s="234"/>
      <c r="E31" s="234"/>
      <c r="F31" s="82">
        <v>2</v>
      </c>
      <c r="G31" s="85" t="s">
        <v>2013</v>
      </c>
      <c r="H31" s="85" t="s">
        <v>2014</v>
      </c>
      <c r="I31" s="81" t="s">
        <v>2022</v>
      </c>
      <c r="J31" s="234"/>
      <c r="K31" s="234"/>
      <c r="L31" s="234"/>
      <c r="M31" s="234"/>
    </row>
    <row r="32" spans="1:13">
      <c r="A32" s="204"/>
      <c r="B32" s="256"/>
      <c r="C32" s="264"/>
      <c r="D32" s="234"/>
      <c r="E32" s="234"/>
      <c r="F32" s="82">
        <v>3</v>
      </c>
      <c r="G32" s="85" t="s">
        <v>2016</v>
      </c>
      <c r="H32" s="85" t="s">
        <v>2017</v>
      </c>
      <c r="I32" s="81" t="s">
        <v>2018</v>
      </c>
      <c r="J32" s="234"/>
      <c r="K32" s="234"/>
      <c r="L32" s="234"/>
      <c r="M32" s="234"/>
    </row>
    <row r="33" spans="1:13" ht="30">
      <c r="A33" s="234">
        <v>15</v>
      </c>
      <c r="B33" s="256"/>
      <c r="C33" s="264" t="s">
        <v>978</v>
      </c>
      <c r="D33" s="234" t="s">
        <v>2023</v>
      </c>
      <c r="E33" s="234" t="s">
        <v>1975</v>
      </c>
      <c r="F33" s="82">
        <v>1</v>
      </c>
      <c r="G33" s="85" t="s">
        <v>2024</v>
      </c>
      <c r="H33" s="85" t="s">
        <v>2010</v>
      </c>
      <c r="I33" s="81" t="s">
        <v>2011</v>
      </c>
      <c r="J33" s="234" t="s">
        <v>2025</v>
      </c>
      <c r="K33" s="368" t="s">
        <v>497</v>
      </c>
      <c r="L33" s="234" t="s">
        <v>1929</v>
      </c>
      <c r="M33" s="366" t="str">
        <f>HYPERLINK("D:\User\Videos\RaoVat_AutomationTesting\Screenshots\PP10.png", "Xem ảnh lỗi")</f>
        <v>Xem ảnh lỗi</v>
      </c>
    </row>
    <row r="34" spans="1:13">
      <c r="A34" s="234"/>
      <c r="B34" s="256"/>
      <c r="C34" s="264"/>
      <c r="D34" s="234"/>
      <c r="E34" s="234"/>
      <c r="F34" s="82">
        <v>2</v>
      </c>
      <c r="G34" s="85" t="s">
        <v>2013</v>
      </c>
      <c r="H34" s="85" t="s">
        <v>2014</v>
      </c>
      <c r="I34" s="81" t="s">
        <v>2022</v>
      </c>
      <c r="J34" s="234"/>
      <c r="K34" s="234"/>
      <c r="L34" s="234"/>
      <c r="M34" s="234"/>
    </row>
    <row r="35" spans="1:13">
      <c r="A35" s="234"/>
      <c r="B35" s="256"/>
      <c r="C35" s="264"/>
      <c r="D35" s="234"/>
      <c r="E35" s="234"/>
      <c r="F35" s="82">
        <v>3</v>
      </c>
      <c r="G35" s="85" t="s">
        <v>2016</v>
      </c>
      <c r="H35" s="85" t="s">
        <v>2017</v>
      </c>
      <c r="I35" s="81" t="s">
        <v>2018</v>
      </c>
      <c r="J35" s="234"/>
      <c r="K35" s="234"/>
      <c r="L35" s="234"/>
      <c r="M35" s="234"/>
    </row>
    <row r="36" spans="1:13">
      <c r="A36" s="190">
        <v>16</v>
      </c>
      <c r="B36" s="369" t="s">
        <v>2026</v>
      </c>
      <c r="C36" s="370" t="s">
        <v>2027</v>
      </c>
      <c r="D36" s="234" t="s">
        <v>2028</v>
      </c>
      <c r="E36" s="234" t="s">
        <v>2029</v>
      </c>
      <c r="F36" s="82">
        <v>1</v>
      </c>
      <c r="G36" s="85" t="s">
        <v>2030</v>
      </c>
      <c r="H36" s="85" t="s">
        <v>1363</v>
      </c>
      <c r="I36" s="202" t="s">
        <v>2031</v>
      </c>
      <c r="J36" s="234" t="s">
        <v>2032</v>
      </c>
      <c r="K36" s="365" t="s">
        <v>992</v>
      </c>
      <c r="L36" s="234" t="s">
        <v>1929</v>
      </c>
      <c r="M36" s="234"/>
    </row>
    <row r="37" spans="1:13">
      <c r="A37" s="190"/>
      <c r="B37" s="369"/>
      <c r="C37" s="370"/>
      <c r="D37" s="234"/>
      <c r="E37" s="234"/>
      <c r="F37" s="82">
        <v>2</v>
      </c>
      <c r="G37" s="85" t="s">
        <v>2033</v>
      </c>
      <c r="H37" s="85"/>
      <c r="I37" s="204"/>
      <c r="J37" s="234"/>
      <c r="K37" s="234"/>
      <c r="L37" s="234"/>
      <c r="M37" s="234"/>
    </row>
    <row r="38" spans="1:13">
      <c r="A38" s="190">
        <v>17</v>
      </c>
      <c r="B38" s="369"/>
      <c r="C38" s="370" t="s">
        <v>2034</v>
      </c>
      <c r="D38" s="234" t="s">
        <v>2035</v>
      </c>
      <c r="E38" s="234" t="s">
        <v>2036</v>
      </c>
      <c r="F38" s="82">
        <v>1</v>
      </c>
      <c r="G38" s="85" t="s">
        <v>2030</v>
      </c>
      <c r="H38" s="85" t="s">
        <v>1363</v>
      </c>
      <c r="I38" s="202" t="s">
        <v>2037</v>
      </c>
      <c r="J38" s="234" t="s">
        <v>2038</v>
      </c>
      <c r="K38" s="365" t="s">
        <v>992</v>
      </c>
      <c r="L38" s="234" t="s">
        <v>1929</v>
      </c>
      <c r="M38" s="234"/>
    </row>
    <row r="39" spans="1:13">
      <c r="A39" s="190"/>
      <c r="B39" s="369"/>
      <c r="C39" s="370"/>
      <c r="D39" s="234"/>
      <c r="E39" s="234"/>
      <c r="F39" s="82">
        <v>2</v>
      </c>
      <c r="G39" s="85" t="s">
        <v>2039</v>
      </c>
      <c r="H39" s="85"/>
      <c r="I39" s="204"/>
      <c r="J39" s="234"/>
      <c r="K39" s="234"/>
      <c r="L39" s="234"/>
      <c r="M39" s="234"/>
    </row>
  </sheetData>
  <mergeCells count="152">
    <mergeCell ref="I36:I37"/>
    <mergeCell ref="J36:J37"/>
    <mergeCell ref="K36:K37"/>
    <mergeCell ref="A33:A35"/>
    <mergeCell ref="C33:C35"/>
    <mergeCell ref="D33:D35"/>
    <mergeCell ref="E33:E35"/>
    <mergeCell ref="J33:J35"/>
    <mergeCell ref="K33:K35"/>
    <mergeCell ref="A36:A37"/>
    <mergeCell ref="B36:B39"/>
    <mergeCell ref="C36:C37"/>
    <mergeCell ref="D36:D37"/>
    <mergeCell ref="E36:E37"/>
    <mergeCell ref="A38:A39"/>
    <mergeCell ref="C38:C39"/>
    <mergeCell ref="J38:J39"/>
    <mergeCell ref="K38:K39"/>
    <mergeCell ref="L38:L39"/>
    <mergeCell ref="L33:L35"/>
    <mergeCell ref="M33:M35"/>
    <mergeCell ref="M38:M39"/>
    <mergeCell ref="L36:L37"/>
    <mergeCell ref="M36:M37"/>
    <mergeCell ref="D38:D39"/>
    <mergeCell ref="E38:E39"/>
    <mergeCell ref="I38:I39"/>
    <mergeCell ref="M27:M29"/>
    <mergeCell ref="A30:A32"/>
    <mergeCell ref="C30:C32"/>
    <mergeCell ref="D30:D32"/>
    <mergeCell ref="E30:E32"/>
    <mergeCell ref="J30:J32"/>
    <mergeCell ref="K30:K32"/>
    <mergeCell ref="L30:L32"/>
    <mergeCell ref="M30:M32"/>
    <mergeCell ref="C27:C29"/>
    <mergeCell ref="D27:D29"/>
    <mergeCell ref="E27:E29"/>
    <mergeCell ref="J27:J29"/>
    <mergeCell ref="M23:M24"/>
    <mergeCell ref="A25:A26"/>
    <mergeCell ref="C25:C26"/>
    <mergeCell ref="D25:D26"/>
    <mergeCell ref="E25:E26"/>
    <mergeCell ref="J25:J26"/>
    <mergeCell ref="K25:K26"/>
    <mergeCell ref="L25:L26"/>
    <mergeCell ref="M25:M26"/>
    <mergeCell ref="A23:A24"/>
    <mergeCell ref="C23:C24"/>
    <mergeCell ref="D23:D24"/>
    <mergeCell ref="E23:E24"/>
    <mergeCell ref="I23:I24"/>
    <mergeCell ref="J23:J24"/>
    <mergeCell ref="K23:K24"/>
    <mergeCell ref="A27:A29"/>
    <mergeCell ref="A19:A20"/>
    <mergeCell ref="M19:M20"/>
    <mergeCell ref="A21:A22"/>
    <mergeCell ref="C21:C22"/>
    <mergeCell ref="D21:D22"/>
    <mergeCell ref="E21:E22"/>
    <mergeCell ref="J21:J22"/>
    <mergeCell ref="K21:K22"/>
    <mergeCell ref="C19:C20"/>
    <mergeCell ref="D19:D20"/>
    <mergeCell ref="E19:E20"/>
    <mergeCell ref="L21:L22"/>
    <mergeCell ref="M21:M22"/>
    <mergeCell ref="J19:J20"/>
    <mergeCell ref="K19:K20"/>
    <mergeCell ref="K15:K16"/>
    <mergeCell ref="L15:L16"/>
    <mergeCell ref="B13:B35"/>
    <mergeCell ref="C13:C14"/>
    <mergeCell ref="D13:D14"/>
    <mergeCell ref="E13:E14"/>
    <mergeCell ref="L19:L20"/>
    <mergeCell ref="L23:L24"/>
    <mergeCell ref="K27:K29"/>
    <mergeCell ref="L27:L29"/>
    <mergeCell ref="L13:L14"/>
    <mergeCell ref="M15:M16"/>
    <mergeCell ref="A17:A18"/>
    <mergeCell ref="C17:C18"/>
    <mergeCell ref="D17:D18"/>
    <mergeCell ref="E17:E18"/>
    <mergeCell ref="I17:I18"/>
    <mergeCell ref="J17:J18"/>
    <mergeCell ref="K17:K18"/>
    <mergeCell ref="L17:L18"/>
    <mergeCell ref="M17:M18"/>
    <mergeCell ref="A15:A16"/>
    <mergeCell ref="C15:C16"/>
    <mergeCell ref="D15:D16"/>
    <mergeCell ref="E15:E16"/>
    <mergeCell ref="I15:I16"/>
    <mergeCell ref="J15:J16"/>
    <mergeCell ref="M13:M14"/>
    <mergeCell ref="A13:A14"/>
    <mergeCell ref="I13:I14"/>
    <mergeCell ref="J13:J14"/>
    <mergeCell ref="K13:K14"/>
    <mergeCell ref="M9:M10"/>
    <mergeCell ref="A11:A12"/>
    <mergeCell ref="C11:C12"/>
    <mergeCell ref="D11:D12"/>
    <mergeCell ref="E11:E12"/>
    <mergeCell ref="J11:J12"/>
    <mergeCell ref="K11:K12"/>
    <mergeCell ref="L11:L12"/>
    <mergeCell ref="M11:M12"/>
    <mergeCell ref="K7:K8"/>
    <mergeCell ref="L7:L8"/>
    <mergeCell ref="M7:M8"/>
    <mergeCell ref="A9:A10"/>
    <mergeCell ref="C9:C10"/>
    <mergeCell ref="D9:D10"/>
    <mergeCell ref="E9:E10"/>
    <mergeCell ref="J9:J10"/>
    <mergeCell ref="K9:K10"/>
    <mergeCell ref="L9:L10"/>
    <mergeCell ref="A7:A8"/>
    <mergeCell ref="C7:C8"/>
    <mergeCell ref="D7:D8"/>
    <mergeCell ref="E7:E8"/>
    <mergeCell ref="I7:I8"/>
    <mergeCell ref="J7:J8"/>
    <mergeCell ref="A2:J2"/>
    <mergeCell ref="A3:A4"/>
    <mergeCell ref="B3:B12"/>
    <mergeCell ref="C3:C4"/>
    <mergeCell ref="D3:D4"/>
    <mergeCell ref="E3:E4"/>
    <mergeCell ref="I3:I4"/>
    <mergeCell ref="J3:J4"/>
    <mergeCell ref="A5:A6"/>
    <mergeCell ref="C5:C6"/>
    <mergeCell ref="D5:D6"/>
    <mergeCell ref="E5:E6"/>
    <mergeCell ref="I5:I6"/>
    <mergeCell ref="J5:J6"/>
    <mergeCell ref="M1:M2"/>
    <mergeCell ref="K3:K4"/>
    <mergeCell ref="L3:L4"/>
    <mergeCell ref="M3:M4"/>
    <mergeCell ref="M5:M6"/>
    <mergeCell ref="L5:L6"/>
    <mergeCell ref="K1:K2"/>
    <mergeCell ref="L1:L2"/>
    <mergeCell ref="K5:K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D997-8521-419D-ABD6-29EE68F33FE8}">
  <dimension ref="A1:M86"/>
  <sheetViews>
    <sheetView topLeftCell="C1" zoomScale="85" zoomScaleNormal="85" workbookViewId="0">
      <selection activeCell="H31" sqref="H31"/>
    </sheetView>
  </sheetViews>
  <sheetFormatPr defaultRowHeight="15"/>
  <cols>
    <col min="1" max="1" width="4.28515625" bestFit="1" customWidth="1"/>
    <col min="2" max="2" width="24.28515625" bestFit="1" customWidth="1"/>
    <col min="3" max="3" width="8.7109375" bestFit="1" customWidth="1"/>
    <col min="4" max="4" width="42.42578125" bestFit="1" customWidth="1"/>
    <col min="5" max="5" width="41.5703125" customWidth="1"/>
    <col min="6" max="6" width="6.85546875" bestFit="1" customWidth="1"/>
    <col min="7" max="7" width="48.42578125" bestFit="1" customWidth="1"/>
    <col min="8" max="8" width="22.42578125" bestFit="1" customWidth="1"/>
    <col min="9" max="9" width="84.42578125" customWidth="1"/>
    <col min="10" max="10" width="67.5703125" bestFit="1" customWidth="1"/>
    <col min="11" max="11" width="6.28515625" bestFit="1" customWidth="1"/>
    <col min="12" max="12" width="8.7109375" bestFit="1" customWidth="1"/>
    <col min="13" max="13" width="5.140625" bestFit="1" customWidth="1"/>
  </cols>
  <sheetData>
    <row r="1" spans="1:13" ht="28.5">
      <c r="A1" s="67" t="s">
        <v>222</v>
      </c>
      <c r="B1" s="67" t="s">
        <v>62</v>
      </c>
      <c r="C1" s="67" t="s">
        <v>480</v>
      </c>
      <c r="D1" s="67" t="s">
        <v>481</v>
      </c>
      <c r="E1" s="67" t="s">
        <v>639</v>
      </c>
      <c r="F1" s="68" t="s">
        <v>483</v>
      </c>
      <c r="G1" s="67" t="s">
        <v>484</v>
      </c>
      <c r="H1" s="67" t="s">
        <v>485</v>
      </c>
      <c r="I1" s="67" t="s">
        <v>486</v>
      </c>
      <c r="J1" s="67" t="s">
        <v>640</v>
      </c>
      <c r="K1" s="380" t="s">
        <v>488</v>
      </c>
      <c r="L1" s="380" t="s">
        <v>489</v>
      </c>
      <c r="M1" s="380" t="s">
        <v>69</v>
      </c>
    </row>
    <row r="2" spans="1:13" ht="20.25">
      <c r="A2" s="381" t="s">
        <v>51</v>
      </c>
      <c r="B2" s="381"/>
      <c r="C2" s="381"/>
      <c r="D2" s="381"/>
      <c r="E2" s="381"/>
      <c r="F2" s="381"/>
      <c r="G2" s="381"/>
      <c r="H2" s="381"/>
      <c r="I2" s="381"/>
      <c r="J2" s="381"/>
      <c r="K2" s="380"/>
      <c r="L2" s="380"/>
      <c r="M2" s="380"/>
    </row>
    <row r="3" spans="1:13">
      <c r="A3" s="371">
        <v>1</v>
      </c>
      <c r="B3" s="372" t="s">
        <v>2040</v>
      </c>
      <c r="C3" s="372" t="s">
        <v>2041</v>
      </c>
      <c r="D3" s="371" t="s">
        <v>2042</v>
      </c>
      <c r="E3" s="371" t="s">
        <v>2043</v>
      </c>
      <c r="F3" s="69">
        <v>1</v>
      </c>
      <c r="G3" s="69" t="s">
        <v>2044</v>
      </c>
      <c r="H3" s="69" t="s">
        <v>610</v>
      </c>
      <c r="I3" s="371" t="s">
        <v>2045</v>
      </c>
      <c r="J3" s="382" t="s">
        <v>2046</v>
      </c>
      <c r="K3" s="374" t="s">
        <v>992</v>
      </c>
      <c r="L3" s="371" t="s">
        <v>1929</v>
      </c>
      <c r="M3" s="371"/>
    </row>
    <row r="4" spans="1:13">
      <c r="A4" s="371"/>
      <c r="B4" s="372"/>
      <c r="C4" s="372"/>
      <c r="D4" s="371"/>
      <c r="E4" s="371"/>
      <c r="F4" s="69">
        <v>2</v>
      </c>
      <c r="G4" s="69" t="s">
        <v>2047</v>
      </c>
      <c r="H4" s="69"/>
      <c r="I4" s="371"/>
      <c r="J4" s="373"/>
      <c r="K4" s="371"/>
      <c r="L4" s="371"/>
      <c r="M4" s="371"/>
    </row>
    <row r="5" spans="1:13">
      <c r="A5" s="371">
        <v>2</v>
      </c>
      <c r="B5" s="372"/>
      <c r="C5" s="372" t="s">
        <v>2048</v>
      </c>
      <c r="D5" s="371" t="s">
        <v>2049</v>
      </c>
      <c r="E5" s="371" t="s">
        <v>2050</v>
      </c>
      <c r="F5" s="69">
        <v>1</v>
      </c>
      <c r="G5" s="69" t="s">
        <v>2051</v>
      </c>
      <c r="H5" s="69" t="s">
        <v>2052</v>
      </c>
      <c r="I5" s="371" t="s">
        <v>2053</v>
      </c>
      <c r="J5" s="373" t="s">
        <v>2054</v>
      </c>
      <c r="K5" s="374" t="s">
        <v>992</v>
      </c>
      <c r="L5" s="371" t="s">
        <v>1929</v>
      </c>
      <c r="M5" s="371"/>
    </row>
    <row r="6" spans="1:13">
      <c r="A6" s="371"/>
      <c r="B6" s="372"/>
      <c r="C6" s="372"/>
      <c r="D6" s="371"/>
      <c r="E6" s="371"/>
      <c r="F6" s="69">
        <v>2</v>
      </c>
      <c r="G6" s="69" t="s">
        <v>2055</v>
      </c>
      <c r="H6" s="69"/>
      <c r="I6" s="371"/>
      <c r="J6" s="373"/>
      <c r="K6" s="371"/>
      <c r="L6" s="371"/>
      <c r="M6" s="371"/>
    </row>
    <row r="7" spans="1:13">
      <c r="A7" s="371">
        <v>3</v>
      </c>
      <c r="B7" s="372"/>
      <c r="C7" s="372" t="s">
        <v>2056</v>
      </c>
      <c r="D7" s="371" t="s">
        <v>2057</v>
      </c>
      <c r="E7" s="371" t="s">
        <v>2050</v>
      </c>
      <c r="F7" s="69">
        <v>1</v>
      </c>
      <c r="G7" s="69" t="s">
        <v>2058</v>
      </c>
      <c r="H7" s="69" t="s">
        <v>2059</v>
      </c>
      <c r="I7" s="371" t="s">
        <v>2060</v>
      </c>
      <c r="J7" s="373" t="s">
        <v>2061</v>
      </c>
      <c r="K7" s="374" t="s">
        <v>992</v>
      </c>
      <c r="L7" s="371" t="s">
        <v>1929</v>
      </c>
      <c r="M7" s="371"/>
    </row>
    <row r="8" spans="1:13">
      <c r="A8" s="371"/>
      <c r="B8" s="372"/>
      <c r="C8" s="372"/>
      <c r="D8" s="371"/>
      <c r="E8" s="371"/>
      <c r="F8" s="69">
        <v>2</v>
      </c>
      <c r="G8" s="69" t="s">
        <v>2062</v>
      </c>
      <c r="H8" s="69"/>
      <c r="I8" s="371"/>
      <c r="J8" s="373"/>
      <c r="K8" s="371"/>
      <c r="L8" s="371"/>
      <c r="M8" s="371"/>
    </row>
    <row r="9" spans="1:13">
      <c r="A9" s="371">
        <v>4</v>
      </c>
      <c r="B9" s="372"/>
      <c r="C9" s="372" t="s">
        <v>2063</v>
      </c>
      <c r="D9" s="371" t="s">
        <v>2064</v>
      </c>
      <c r="E9" s="371" t="s">
        <v>2050</v>
      </c>
      <c r="F9" s="69">
        <v>1</v>
      </c>
      <c r="G9" s="69" t="s">
        <v>2065</v>
      </c>
      <c r="H9" s="69" t="s">
        <v>2066</v>
      </c>
      <c r="I9" s="371" t="s">
        <v>2045</v>
      </c>
      <c r="J9" s="373" t="s">
        <v>2067</v>
      </c>
      <c r="K9" s="374" t="s">
        <v>992</v>
      </c>
      <c r="L9" s="371" t="s">
        <v>1929</v>
      </c>
      <c r="M9" s="371"/>
    </row>
    <row r="10" spans="1:13">
      <c r="A10" s="371"/>
      <c r="B10" s="372"/>
      <c r="C10" s="372"/>
      <c r="D10" s="371"/>
      <c r="E10" s="371"/>
      <c r="F10" s="69">
        <v>2</v>
      </c>
      <c r="G10" s="69" t="s">
        <v>2068</v>
      </c>
      <c r="H10" s="69"/>
      <c r="I10" s="371"/>
      <c r="J10" s="373"/>
      <c r="K10" s="371"/>
      <c r="L10" s="371"/>
      <c r="M10" s="371"/>
    </row>
    <row r="11" spans="1:13">
      <c r="A11" s="371">
        <v>5</v>
      </c>
      <c r="B11" s="372"/>
      <c r="C11" s="372" t="s">
        <v>2069</v>
      </c>
      <c r="D11" s="371" t="s">
        <v>2070</v>
      </c>
      <c r="E11" s="371" t="s">
        <v>2050</v>
      </c>
      <c r="F11" s="69">
        <v>1</v>
      </c>
      <c r="G11" s="69" t="s">
        <v>2071</v>
      </c>
      <c r="H11" s="69"/>
      <c r="I11" s="371" t="s">
        <v>2072</v>
      </c>
      <c r="J11" s="373" t="s">
        <v>2073</v>
      </c>
      <c r="K11" s="374" t="s">
        <v>992</v>
      </c>
      <c r="L11" s="371" t="s">
        <v>1929</v>
      </c>
      <c r="M11" s="371"/>
    </row>
    <row r="12" spans="1:13">
      <c r="A12" s="371"/>
      <c r="B12" s="372"/>
      <c r="C12" s="372"/>
      <c r="D12" s="371"/>
      <c r="E12" s="371"/>
      <c r="F12" s="69">
        <v>2</v>
      </c>
      <c r="G12" s="69" t="s">
        <v>2074</v>
      </c>
      <c r="H12" s="69"/>
      <c r="I12" s="371"/>
      <c r="J12" s="373"/>
      <c r="K12" s="371"/>
      <c r="L12" s="371"/>
      <c r="M12" s="371"/>
    </row>
    <row r="13" spans="1:13">
      <c r="A13" s="371"/>
      <c r="B13" s="372"/>
      <c r="C13" s="372"/>
      <c r="D13" s="371"/>
      <c r="E13" s="371"/>
      <c r="F13" s="69">
        <v>3</v>
      </c>
      <c r="G13" s="69" t="s">
        <v>2075</v>
      </c>
      <c r="H13" s="69" t="s">
        <v>2076</v>
      </c>
      <c r="I13" s="371"/>
      <c r="J13" s="373"/>
      <c r="K13" s="371"/>
      <c r="L13" s="371"/>
      <c r="M13" s="371"/>
    </row>
    <row r="14" spans="1:13">
      <c r="A14" s="371">
        <v>6</v>
      </c>
      <c r="B14" s="372"/>
      <c r="C14" s="372" t="s">
        <v>2077</v>
      </c>
      <c r="D14" s="371" t="s">
        <v>2078</v>
      </c>
      <c r="E14" s="371" t="s">
        <v>2050</v>
      </c>
      <c r="F14" s="69">
        <v>1</v>
      </c>
      <c r="G14" s="69" t="s">
        <v>2079</v>
      </c>
      <c r="H14" s="69"/>
      <c r="I14" s="371" t="s">
        <v>2045</v>
      </c>
      <c r="J14" s="373" t="s">
        <v>2080</v>
      </c>
      <c r="K14" s="374" t="s">
        <v>992</v>
      </c>
      <c r="L14" s="371" t="s">
        <v>1929</v>
      </c>
      <c r="M14" s="371"/>
    </row>
    <row r="15" spans="1:13">
      <c r="A15" s="371"/>
      <c r="B15" s="372"/>
      <c r="C15" s="372"/>
      <c r="D15" s="371"/>
      <c r="E15" s="371"/>
      <c r="F15" s="69"/>
      <c r="G15" s="69"/>
      <c r="H15" s="69"/>
      <c r="I15" s="371"/>
      <c r="J15" s="373"/>
      <c r="K15" s="371"/>
      <c r="L15" s="371"/>
      <c r="M15" s="371"/>
    </row>
    <row r="16" spans="1:13">
      <c r="A16" s="371"/>
      <c r="B16" s="372"/>
      <c r="C16" s="372"/>
      <c r="D16" s="371"/>
      <c r="E16" s="371"/>
      <c r="F16" s="69">
        <v>2</v>
      </c>
      <c r="G16" s="69" t="s">
        <v>2081</v>
      </c>
      <c r="H16" s="69" t="s">
        <v>2082</v>
      </c>
      <c r="I16" s="371"/>
      <c r="J16" s="373"/>
      <c r="K16" s="371"/>
      <c r="L16" s="371"/>
      <c r="M16" s="371"/>
    </row>
    <row r="17" spans="1:13">
      <c r="A17" s="371">
        <v>7</v>
      </c>
      <c r="B17" s="372"/>
      <c r="C17" s="372" t="s">
        <v>2083</v>
      </c>
      <c r="D17" s="371" t="s">
        <v>2084</v>
      </c>
      <c r="E17" s="371" t="s">
        <v>2050</v>
      </c>
      <c r="F17" s="69">
        <v>1</v>
      </c>
      <c r="G17" s="69" t="s">
        <v>2085</v>
      </c>
      <c r="H17" s="69"/>
      <c r="I17" s="371" t="s">
        <v>2086</v>
      </c>
      <c r="J17" s="373" t="s">
        <v>2087</v>
      </c>
      <c r="K17" s="374" t="s">
        <v>992</v>
      </c>
      <c r="L17" s="371" t="s">
        <v>1929</v>
      </c>
      <c r="M17" s="371"/>
    </row>
    <row r="18" spans="1:13">
      <c r="A18" s="371"/>
      <c r="B18" s="372"/>
      <c r="C18" s="372"/>
      <c r="D18" s="371"/>
      <c r="E18" s="371"/>
      <c r="F18" s="69"/>
      <c r="G18" s="69"/>
      <c r="H18" s="69"/>
      <c r="I18" s="371"/>
      <c r="J18" s="373"/>
      <c r="K18" s="371"/>
      <c r="L18" s="371"/>
      <c r="M18" s="371"/>
    </row>
    <row r="19" spans="1:13">
      <c r="A19" s="371"/>
      <c r="B19" s="372"/>
      <c r="C19" s="372"/>
      <c r="D19" s="371"/>
      <c r="E19" s="371"/>
      <c r="F19" s="69">
        <v>2</v>
      </c>
      <c r="G19" s="69" t="s">
        <v>2088</v>
      </c>
      <c r="H19" s="69" t="s">
        <v>1363</v>
      </c>
      <c r="I19" s="371"/>
      <c r="J19" s="373"/>
      <c r="K19" s="371"/>
      <c r="L19" s="371"/>
      <c r="M19" s="371"/>
    </row>
    <row r="20" spans="1:13">
      <c r="A20" s="371">
        <v>8</v>
      </c>
      <c r="B20" s="372"/>
      <c r="C20" s="372" t="s">
        <v>2089</v>
      </c>
      <c r="D20" s="371" t="s">
        <v>2090</v>
      </c>
      <c r="E20" s="371" t="s">
        <v>2091</v>
      </c>
      <c r="F20" s="69">
        <v>1</v>
      </c>
      <c r="G20" s="69" t="s">
        <v>2092</v>
      </c>
      <c r="H20" s="69" t="s">
        <v>541</v>
      </c>
      <c r="I20" s="371" t="s">
        <v>2045</v>
      </c>
      <c r="J20" s="373" t="s">
        <v>2093</v>
      </c>
      <c r="K20" s="378" t="s">
        <v>497</v>
      </c>
      <c r="L20" s="371" t="s">
        <v>1929</v>
      </c>
      <c r="M20" s="371"/>
    </row>
    <row r="21" spans="1:13">
      <c r="A21" s="371"/>
      <c r="B21" s="372"/>
      <c r="C21" s="372"/>
      <c r="D21" s="371"/>
      <c r="E21" s="371"/>
      <c r="F21" s="69"/>
      <c r="G21" s="69"/>
      <c r="H21" s="69"/>
      <c r="I21" s="371"/>
      <c r="J21" s="373"/>
      <c r="K21" s="371"/>
      <c r="L21" s="371"/>
      <c r="M21" s="371"/>
    </row>
    <row r="22" spans="1:13">
      <c r="A22" s="371"/>
      <c r="B22" s="372"/>
      <c r="C22" s="372"/>
      <c r="D22" s="371"/>
      <c r="E22" s="371"/>
      <c r="F22" s="69">
        <v>2</v>
      </c>
      <c r="G22" s="69" t="s">
        <v>2094</v>
      </c>
      <c r="H22" s="69" t="s">
        <v>1694</v>
      </c>
      <c r="I22" s="371"/>
      <c r="J22" s="373"/>
      <c r="K22" s="371"/>
      <c r="L22" s="371"/>
      <c r="M22" s="371"/>
    </row>
    <row r="23" spans="1:13">
      <c r="A23" s="371">
        <v>9</v>
      </c>
      <c r="B23" s="372" t="s">
        <v>2095</v>
      </c>
      <c r="C23" s="372" t="s">
        <v>2096</v>
      </c>
      <c r="D23" s="371" t="s">
        <v>2097</v>
      </c>
      <c r="E23" s="371" t="s">
        <v>2098</v>
      </c>
      <c r="F23" s="69">
        <v>1</v>
      </c>
      <c r="G23" s="69" t="s">
        <v>2099</v>
      </c>
      <c r="H23" s="69"/>
      <c r="I23" s="371" t="s">
        <v>2045</v>
      </c>
      <c r="J23" s="373" t="s">
        <v>2100</v>
      </c>
      <c r="K23" s="374" t="s">
        <v>992</v>
      </c>
      <c r="L23" s="371" t="s">
        <v>1929</v>
      </c>
      <c r="M23" s="371"/>
    </row>
    <row r="24" spans="1:13">
      <c r="A24" s="371"/>
      <c r="B24" s="372"/>
      <c r="C24" s="372"/>
      <c r="D24" s="371"/>
      <c r="E24" s="371"/>
      <c r="F24" s="69">
        <v>2</v>
      </c>
      <c r="G24" s="69" t="s">
        <v>2101</v>
      </c>
      <c r="H24" s="69" t="s">
        <v>2102</v>
      </c>
      <c r="I24" s="371"/>
      <c r="J24" s="373"/>
      <c r="K24" s="371"/>
      <c r="L24" s="371"/>
      <c r="M24" s="371"/>
    </row>
    <row r="25" spans="1:13">
      <c r="A25" s="371">
        <v>10</v>
      </c>
      <c r="B25" s="372"/>
      <c r="C25" s="372" t="s">
        <v>2103</v>
      </c>
      <c r="D25" s="371" t="s">
        <v>2104</v>
      </c>
      <c r="E25" s="371" t="s">
        <v>2105</v>
      </c>
      <c r="F25" s="69">
        <v>1</v>
      </c>
      <c r="G25" s="69" t="s">
        <v>2106</v>
      </c>
      <c r="H25" s="69"/>
      <c r="I25" s="371" t="s">
        <v>2086</v>
      </c>
      <c r="J25" s="373" t="s">
        <v>2107</v>
      </c>
      <c r="K25" s="374" t="s">
        <v>992</v>
      </c>
      <c r="L25" s="371" t="s">
        <v>1929</v>
      </c>
      <c r="M25" s="371"/>
    </row>
    <row r="26" spans="1:13">
      <c r="A26" s="371"/>
      <c r="B26" s="372"/>
      <c r="C26" s="372"/>
      <c r="D26" s="371"/>
      <c r="E26" s="371"/>
      <c r="F26" s="69">
        <v>2</v>
      </c>
      <c r="G26" s="69" t="s">
        <v>2108</v>
      </c>
      <c r="H26" s="69" t="s">
        <v>2109</v>
      </c>
      <c r="I26" s="371"/>
      <c r="J26" s="373"/>
      <c r="K26" s="371"/>
      <c r="L26" s="371"/>
      <c r="M26" s="371"/>
    </row>
    <row r="27" spans="1:13">
      <c r="A27" s="371">
        <v>11</v>
      </c>
      <c r="B27" s="372"/>
      <c r="C27" s="372" t="s">
        <v>2110</v>
      </c>
      <c r="D27" s="371" t="s">
        <v>2111</v>
      </c>
      <c r="E27" s="371" t="s">
        <v>2105</v>
      </c>
      <c r="F27" s="69">
        <v>1</v>
      </c>
      <c r="G27" s="69" t="s">
        <v>2112</v>
      </c>
      <c r="H27" s="69"/>
      <c r="I27" s="371" t="s">
        <v>2045</v>
      </c>
      <c r="J27" s="373" t="s">
        <v>2113</v>
      </c>
      <c r="K27" s="374" t="s">
        <v>992</v>
      </c>
      <c r="L27" s="371" t="s">
        <v>1929</v>
      </c>
      <c r="M27" s="371"/>
    </row>
    <row r="28" spans="1:13">
      <c r="A28" s="371"/>
      <c r="B28" s="372"/>
      <c r="C28" s="372"/>
      <c r="D28" s="371"/>
      <c r="E28" s="371"/>
      <c r="F28" s="69">
        <v>2</v>
      </c>
      <c r="G28" s="69" t="s">
        <v>2114</v>
      </c>
      <c r="H28" s="69" t="s">
        <v>2115</v>
      </c>
      <c r="I28" s="371"/>
      <c r="J28" s="373"/>
      <c r="K28" s="371"/>
      <c r="L28" s="371"/>
      <c r="M28" s="371"/>
    </row>
    <row r="29" spans="1:13">
      <c r="A29" s="371">
        <v>12</v>
      </c>
      <c r="B29" s="372"/>
      <c r="C29" s="372" t="s">
        <v>2116</v>
      </c>
      <c r="D29" s="371" t="s">
        <v>2117</v>
      </c>
      <c r="E29" s="371" t="s">
        <v>2118</v>
      </c>
      <c r="F29" s="69">
        <v>1</v>
      </c>
      <c r="G29" s="69" t="s">
        <v>2119</v>
      </c>
      <c r="H29" s="69" t="s">
        <v>2120</v>
      </c>
      <c r="I29" s="371" t="s">
        <v>2086</v>
      </c>
      <c r="J29" s="373" t="s">
        <v>2121</v>
      </c>
      <c r="K29" s="378" t="s">
        <v>497</v>
      </c>
      <c r="L29" s="371" t="s">
        <v>1929</v>
      </c>
      <c r="M29" s="371"/>
    </row>
    <row r="30" spans="1:13">
      <c r="A30" s="371"/>
      <c r="B30" s="372"/>
      <c r="C30" s="372"/>
      <c r="D30" s="371"/>
      <c r="E30" s="371"/>
      <c r="F30" s="69">
        <v>2</v>
      </c>
      <c r="G30" s="69" t="s">
        <v>2122</v>
      </c>
      <c r="H30" s="69"/>
      <c r="I30" s="371"/>
      <c r="J30" s="373"/>
      <c r="K30" s="371"/>
      <c r="L30" s="371"/>
      <c r="M30" s="371"/>
    </row>
    <row r="31" spans="1:13">
      <c r="A31" s="371">
        <v>13</v>
      </c>
      <c r="B31" s="372"/>
      <c r="C31" s="372" t="s">
        <v>2123</v>
      </c>
      <c r="D31" s="371" t="s">
        <v>2124</v>
      </c>
      <c r="E31" s="371" t="s">
        <v>2105</v>
      </c>
      <c r="F31" s="69">
        <v>1</v>
      </c>
      <c r="G31" s="69" t="s">
        <v>2125</v>
      </c>
      <c r="H31" s="69"/>
      <c r="I31" s="371" t="s">
        <v>2045</v>
      </c>
      <c r="J31" s="373" t="s">
        <v>2126</v>
      </c>
      <c r="K31" s="378" t="s">
        <v>497</v>
      </c>
      <c r="L31" s="371" t="s">
        <v>1929</v>
      </c>
      <c r="M31" s="371"/>
    </row>
    <row r="32" spans="1:13">
      <c r="A32" s="371"/>
      <c r="B32" s="372"/>
      <c r="C32" s="372"/>
      <c r="D32" s="371"/>
      <c r="E32" s="371"/>
      <c r="F32" s="69">
        <v>2</v>
      </c>
      <c r="G32" s="69" t="s">
        <v>2127</v>
      </c>
      <c r="H32" s="69" t="s">
        <v>2128</v>
      </c>
      <c r="I32" s="371"/>
      <c r="J32" s="373"/>
      <c r="K32" s="371"/>
      <c r="L32" s="371"/>
      <c r="M32" s="371"/>
    </row>
    <row r="33" spans="1:13">
      <c r="A33" s="371">
        <v>14</v>
      </c>
      <c r="B33" s="372"/>
      <c r="C33" s="372" t="s">
        <v>2129</v>
      </c>
      <c r="D33" s="371" t="s">
        <v>2130</v>
      </c>
      <c r="E33" s="371" t="s">
        <v>2105</v>
      </c>
      <c r="F33" s="69">
        <v>1</v>
      </c>
      <c r="G33" s="69" t="s">
        <v>2125</v>
      </c>
      <c r="H33" s="69"/>
      <c r="I33" s="371" t="s">
        <v>2086</v>
      </c>
      <c r="J33" s="373" t="s">
        <v>2131</v>
      </c>
      <c r="K33" s="378" t="s">
        <v>497</v>
      </c>
      <c r="L33" s="371" t="s">
        <v>1929</v>
      </c>
      <c r="M33" s="371"/>
    </row>
    <row r="34" spans="1:13">
      <c r="A34" s="371"/>
      <c r="B34" s="372"/>
      <c r="C34" s="372"/>
      <c r="D34" s="371"/>
      <c r="E34" s="371"/>
      <c r="F34" s="69">
        <v>2</v>
      </c>
      <c r="G34" s="69" t="s">
        <v>2132</v>
      </c>
      <c r="H34" s="69" t="s">
        <v>2133</v>
      </c>
      <c r="I34" s="371"/>
      <c r="J34" s="373"/>
      <c r="K34" s="371"/>
      <c r="L34" s="371"/>
      <c r="M34" s="371"/>
    </row>
    <row r="35" spans="1:13">
      <c r="A35" s="371">
        <v>15</v>
      </c>
      <c r="B35" s="372"/>
      <c r="C35" s="372" t="s">
        <v>2134</v>
      </c>
      <c r="D35" s="371" t="s">
        <v>2135</v>
      </c>
      <c r="E35" s="371" t="s">
        <v>2105</v>
      </c>
      <c r="F35" s="69">
        <v>1</v>
      </c>
      <c r="G35" s="69" t="s">
        <v>2125</v>
      </c>
      <c r="H35" s="69"/>
      <c r="I35" s="371" t="s">
        <v>2045</v>
      </c>
      <c r="J35" s="373" t="s">
        <v>2136</v>
      </c>
      <c r="K35" s="378" t="s">
        <v>497</v>
      </c>
      <c r="L35" s="371" t="s">
        <v>1929</v>
      </c>
      <c r="M35" s="371"/>
    </row>
    <row r="36" spans="1:13">
      <c r="A36" s="371"/>
      <c r="B36" s="372"/>
      <c r="C36" s="372"/>
      <c r="D36" s="371"/>
      <c r="E36" s="371"/>
      <c r="F36" s="69">
        <v>2</v>
      </c>
      <c r="G36" s="69" t="s">
        <v>2137</v>
      </c>
      <c r="H36" s="69" t="s">
        <v>2138</v>
      </c>
      <c r="I36" s="371"/>
      <c r="J36" s="373"/>
      <c r="K36" s="371"/>
      <c r="L36" s="371"/>
      <c r="M36" s="371"/>
    </row>
    <row r="37" spans="1:13">
      <c r="A37" s="371">
        <v>16</v>
      </c>
      <c r="B37" s="372"/>
      <c r="C37" s="379" t="s">
        <v>2139</v>
      </c>
      <c r="D37" s="371" t="s">
        <v>2140</v>
      </c>
      <c r="E37" s="371" t="s">
        <v>2141</v>
      </c>
      <c r="F37" s="69">
        <v>1</v>
      </c>
      <c r="G37" s="69" t="s">
        <v>2142</v>
      </c>
      <c r="H37" s="69"/>
      <c r="I37" s="371" t="s">
        <v>2086</v>
      </c>
      <c r="J37" s="373" t="s">
        <v>2143</v>
      </c>
      <c r="K37" s="374" t="s">
        <v>992</v>
      </c>
      <c r="L37" s="371" t="s">
        <v>1929</v>
      </c>
      <c r="M37" s="371"/>
    </row>
    <row r="38" spans="1:13">
      <c r="A38" s="371"/>
      <c r="B38" s="372"/>
      <c r="C38" s="372"/>
      <c r="D38" s="371"/>
      <c r="E38" s="371"/>
      <c r="F38" s="69">
        <v>2</v>
      </c>
      <c r="G38" s="69" t="s">
        <v>2144</v>
      </c>
      <c r="H38" s="69" t="s">
        <v>1385</v>
      </c>
      <c r="I38" s="371"/>
      <c r="J38" s="373"/>
      <c r="K38" s="371"/>
      <c r="L38" s="371"/>
      <c r="M38" s="371"/>
    </row>
    <row r="39" spans="1:13">
      <c r="A39" s="371">
        <v>17</v>
      </c>
      <c r="B39" s="372"/>
      <c r="C39" s="372" t="s">
        <v>2145</v>
      </c>
      <c r="D39" s="371" t="s">
        <v>2146</v>
      </c>
      <c r="E39" s="371" t="s">
        <v>2141</v>
      </c>
      <c r="F39" s="69">
        <v>1</v>
      </c>
      <c r="G39" s="69" t="s">
        <v>2147</v>
      </c>
      <c r="H39" s="69"/>
      <c r="I39" s="371" t="s">
        <v>2086</v>
      </c>
      <c r="J39" s="373" t="s">
        <v>2148</v>
      </c>
      <c r="K39" s="378" t="s">
        <v>497</v>
      </c>
      <c r="L39" s="371" t="s">
        <v>1929</v>
      </c>
      <c r="M39" s="371"/>
    </row>
    <row r="40" spans="1:13">
      <c r="A40" s="371"/>
      <c r="B40" s="372"/>
      <c r="C40" s="372"/>
      <c r="D40" s="371"/>
      <c r="E40" s="371"/>
      <c r="F40" s="69">
        <v>2</v>
      </c>
      <c r="G40" s="69" t="s">
        <v>2149</v>
      </c>
      <c r="H40" s="69" t="s">
        <v>561</v>
      </c>
      <c r="I40" s="371"/>
      <c r="J40" s="373"/>
      <c r="K40" s="371"/>
      <c r="L40" s="371"/>
      <c r="M40" s="371"/>
    </row>
    <row r="41" spans="1:13">
      <c r="A41" s="371">
        <v>18</v>
      </c>
      <c r="B41" s="372"/>
      <c r="C41" s="372" t="s">
        <v>2150</v>
      </c>
      <c r="D41" s="371" t="s">
        <v>2151</v>
      </c>
      <c r="E41" s="371" t="s">
        <v>2152</v>
      </c>
      <c r="F41" s="69">
        <v>1</v>
      </c>
      <c r="G41" s="69" t="s">
        <v>2153</v>
      </c>
      <c r="H41" s="69" t="s">
        <v>2154</v>
      </c>
      <c r="I41" s="371" t="s">
        <v>2045</v>
      </c>
      <c r="J41" s="373" t="s">
        <v>2155</v>
      </c>
      <c r="K41" s="374" t="s">
        <v>992</v>
      </c>
      <c r="L41" s="371" t="s">
        <v>1929</v>
      </c>
      <c r="M41" s="371"/>
    </row>
    <row r="42" spans="1:13">
      <c r="A42" s="371"/>
      <c r="B42" s="372"/>
      <c r="C42" s="372"/>
      <c r="D42" s="371"/>
      <c r="E42" s="371"/>
      <c r="F42" s="69">
        <v>2</v>
      </c>
      <c r="G42" s="69" t="s">
        <v>2156</v>
      </c>
      <c r="H42" s="69" t="s">
        <v>2157</v>
      </c>
      <c r="I42" s="371"/>
      <c r="J42" s="373"/>
      <c r="K42" s="371"/>
      <c r="L42" s="371"/>
      <c r="M42" s="371"/>
    </row>
    <row r="43" spans="1:13">
      <c r="A43" s="375">
        <v>19</v>
      </c>
      <c r="B43" s="376" t="s">
        <v>2158</v>
      </c>
      <c r="C43" s="376" t="s">
        <v>2159</v>
      </c>
      <c r="D43" s="375" t="s">
        <v>2160</v>
      </c>
      <c r="E43" s="375" t="s">
        <v>2161</v>
      </c>
      <c r="F43" s="86">
        <v>1</v>
      </c>
      <c r="G43" s="86" t="s">
        <v>2162</v>
      </c>
      <c r="H43" s="86"/>
      <c r="I43" s="375" t="s">
        <v>2086</v>
      </c>
      <c r="J43" s="377"/>
      <c r="K43" s="375"/>
      <c r="L43" s="375"/>
      <c r="M43" s="375"/>
    </row>
    <row r="44" spans="1:13">
      <c r="A44" s="375"/>
      <c r="B44" s="376"/>
      <c r="C44" s="376"/>
      <c r="D44" s="375"/>
      <c r="E44" s="375"/>
      <c r="F44" s="86">
        <v>2</v>
      </c>
      <c r="G44" s="86" t="s">
        <v>2163</v>
      </c>
      <c r="H44" s="86" t="s">
        <v>2164</v>
      </c>
      <c r="I44" s="375"/>
      <c r="J44" s="377"/>
      <c r="K44" s="375"/>
      <c r="L44" s="375"/>
      <c r="M44" s="375"/>
    </row>
    <row r="45" spans="1:13">
      <c r="A45" s="375">
        <v>20</v>
      </c>
      <c r="B45" s="376"/>
      <c r="C45" s="376" t="s">
        <v>2165</v>
      </c>
      <c r="D45" s="375" t="s">
        <v>2166</v>
      </c>
      <c r="E45" s="375" t="s">
        <v>2167</v>
      </c>
      <c r="F45" s="86">
        <v>1</v>
      </c>
      <c r="G45" s="86" t="s">
        <v>2168</v>
      </c>
      <c r="H45" s="86" t="s">
        <v>2169</v>
      </c>
      <c r="I45" s="375" t="s">
        <v>2045</v>
      </c>
      <c r="J45" s="377"/>
      <c r="K45" s="375"/>
      <c r="L45" s="375"/>
      <c r="M45" s="375"/>
    </row>
    <row r="46" spans="1:13">
      <c r="A46" s="375"/>
      <c r="B46" s="376"/>
      <c r="C46" s="376"/>
      <c r="D46" s="375"/>
      <c r="E46" s="375"/>
      <c r="F46" s="86">
        <v>2</v>
      </c>
      <c r="G46" s="86" t="s">
        <v>2170</v>
      </c>
      <c r="H46" s="86"/>
      <c r="I46" s="375"/>
      <c r="J46" s="377"/>
      <c r="K46" s="375"/>
      <c r="L46" s="375"/>
      <c r="M46" s="375"/>
    </row>
    <row r="47" spans="1:13">
      <c r="A47" s="375">
        <v>21</v>
      </c>
      <c r="B47" s="376"/>
      <c r="C47" s="376" t="s">
        <v>2171</v>
      </c>
      <c r="D47" s="375" t="s">
        <v>2172</v>
      </c>
      <c r="E47" s="375" t="s">
        <v>2167</v>
      </c>
      <c r="F47" s="86">
        <v>1</v>
      </c>
      <c r="G47" s="86" t="s">
        <v>2162</v>
      </c>
      <c r="H47" s="86"/>
      <c r="I47" s="375" t="s">
        <v>2086</v>
      </c>
      <c r="J47" s="377"/>
      <c r="K47" s="375"/>
      <c r="L47" s="375"/>
      <c r="M47" s="375"/>
    </row>
    <row r="48" spans="1:13">
      <c r="A48" s="375"/>
      <c r="B48" s="376"/>
      <c r="C48" s="376"/>
      <c r="D48" s="375"/>
      <c r="E48" s="375"/>
      <c r="F48" s="86">
        <v>2</v>
      </c>
      <c r="G48" s="86" t="s">
        <v>2173</v>
      </c>
      <c r="H48" s="86" t="s">
        <v>2174</v>
      </c>
      <c r="I48" s="375"/>
      <c r="J48" s="377"/>
      <c r="K48" s="375"/>
      <c r="L48" s="375"/>
      <c r="M48" s="375"/>
    </row>
    <row r="49" spans="1:13">
      <c r="A49" s="375">
        <v>22</v>
      </c>
      <c r="B49" s="376"/>
      <c r="C49" s="376" t="s">
        <v>2175</v>
      </c>
      <c r="D49" s="375" t="s">
        <v>2176</v>
      </c>
      <c r="E49" s="375" t="s">
        <v>2167</v>
      </c>
      <c r="F49" s="86">
        <v>1</v>
      </c>
      <c r="G49" s="86" t="s">
        <v>2162</v>
      </c>
      <c r="H49" s="86"/>
      <c r="I49" s="375" t="s">
        <v>2045</v>
      </c>
      <c r="J49" s="377"/>
      <c r="K49" s="375"/>
      <c r="L49" s="375"/>
      <c r="M49" s="375"/>
    </row>
    <row r="50" spans="1:13">
      <c r="A50" s="375"/>
      <c r="B50" s="376"/>
      <c r="C50" s="376"/>
      <c r="D50" s="375"/>
      <c r="E50" s="375"/>
      <c r="F50" s="86">
        <v>2</v>
      </c>
      <c r="G50" s="86" t="s">
        <v>2177</v>
      </c>
      <c r="H50" s="86" t="s">
        <v>2178</v>
      </c>
      <c r="I50" s="375"/>
      <c r="J50" s="377"/>
      <c r="K50" s="375"/>
      <c r="L50" s="375"/>
      <c r="M50" s="375"/>
    </row>
    <row r="51" spans="1:13">
      <c r="A51" s="375">
        <v>23</v>
      </c>
      <c r="B51" s="376"/>
      <c r="C51" s="376" t="s">
        <v>2179</v>
      </c>
      <c r="D51" s="375" t="s">
        <v>2180</v>
      </c>
      <c r="E51" s="375" t="s">
        <v>2167</v>
      </c>
      <c r="F51" s="86">
        <v>1</v>
      </c>
      <c r="G51" s="86" t="s">
        <v>2181</v>
      </c>
      <c r="H51" s="86" t="s">
        <v>2182</v>
      </c>
      <c r="I51" s="375" t="s">
        <v>2086</v>
      </c>
      <c r="J51" s="377"/>
      <c r="K51" s="375"/>
      <c r="L51" s="375"/>
      <c r="M51" s="375"/>
    </row>
    <row r="52" spans="1:13">
      <c r="A52" s="375"/>
      <c r="B52" s="376"/>
      <c r="C52" s="376"/>
      <c r="D52" s="375"/>
      <c r="E52" s="375"/>
      <c r="F52" s="86">
        <v>2</v>
      </c>
      <c r="G52" s="86" t="s">
        <v>2170</v>
      </c>
      <c r="H52" s="86"/>
      <c r="I52" s="375"/>
      <c r="J52" s="377"/>
      <c r="K52" s="375"/>
      <c r="L52" s="375"/>
      <c r="M52" s="375"/>
    </row>
    <row r="53" spans="1:13">
      <c r="A53" s="375">
        <v>24</v>
      </c>
      <c r="B53" s="376"/>
      <c r="C53" s="376" t="s">
        <v>2183</v>
      </c>
      <c r="D53" s="375" t="s">
        <v>2184</v>
      </c>
      <c r="E53" s="375" t="s">
        <v>2167</v>
      </c>
      <c r="F53" s="86">
        <v>1</v>
      </c>
      <c r="G53" s="86" t="s">
        <v>2185</v>
      </c>
      <c r="H53" s="86" t="s">
        <v>2186</v>
      </c>
      <c r="I53" s="375" t="s">
        <v>2045</v>
      </c>
      <c r="J53" s="377"/>
      <c r="K53" s="375"/>
      <c r="L53" s="375"/>
      <c r="M53" s="375"/>
    </row>
    <row r="54" spans="1:13">
      <c r="A54" s="375"/>
      <c r="B54" s="376"/>
      <c r="C54" s="376"/>
      <c r="D54" s="375"/>
      <c r="E54" s="375"/>
      <c r="F54" s="86">
        <v>2</v>
      </c>
      <c r="G54" s="86" t="s">
        <v>2170</v>
      </c>
      <c r="H54" s="86"/>
      <c r="I54" s="375"/>
      <c r="J54" s="377"/>
      <c r="K54" s="375"/>
      <c r="L54" s="375"/>
      <c r="M54" s="375"/>
    </row>
    <row r="55" spans="1:13">
      <c r="A55" s="375">
        <v>25</v>
      </c>
      <c r="B55" s="376"/>
      <c r="C55" s="376" t="s">
        <v>2187</v>
      </c>
      <c r="D55" s="375" t="s">
        <v>2188</v>
      </c>
      <c r="E55" s="375" t="s">
        <v>2167</v>
      </c>
      <c r="F55" s="86">
        <v>1</v>
      </c>
      <c r="G55" s="86" t="s">
        <v>2189</v>
      </c>
      <c r="H55" s="86"/>
      <c r="I55" s="375" t="s">
        <v>2086</v>
      </c>
      <c r="J55" s="377"/>
      <c r="K55" s="375"/>
      <c r="L55" s="375"/>
      <c r="M55" s="375"/>
    </row>
    <row r="56" spans="1:13">
      <c r="A56" s="375"/>
      <c r="B56" s="376"/>
      <c r="C56" s="376"/>
      <c r="D56" s="375"/>
      <c r="E56" s="375"/>
      <c r="F56" s="86">
        <v>2</v>
      </c>
      <c r="G56" s="86" t="s">
        <v>2190</v>
      </c>
      <c r="H56" s="86" t="s">
        <v>2191</v>
      </c>
      <c r="I56" s="375"/>
      <c r="J56" s="377"/>
      <c r="K56" s="375"/>
      <c r="L56" s="375"/>
      <c r="M56" s="375"/>
    </row>
    <row r="57" spans="1:13">
      <c r="A57" s="375">
        <v>26</v>
      </c>
      <c r="B57" s="376"/>
      <c r="C57" s="376" t="s">
        <v>2192</v>
      </c>
      <c r="D57" s="375" t="s">
        <v>2193</v>
      </c>
      <c r="E57" s="375" t="s">
        <v>2167</v>
      </c>
      <c r="F57" s="86">
        <v>1</v>
      </c>
      <c r="G57" s="86" t="s">
        <v>2194</v>
      </c>
      <c r="H57" s="86"/>
      <c r="I57" s="375" t="s">
        <v>2045</v>
      </c>
      <c r="J57" s="377"/>
      <c r="K57" s="375"/>
      <c r="L57" s="375"/>
      <c r="M57" s="375"/>
    </row>
    <row r="58" spans="1:13">
      <c r="A58" s="375"/>
      <c r="B58" s="376"/>
      <c r="C58" s="376"/>
      <c r="D58" s="375"/>
      <c r="E58" s="375"/>
      <c r="F58" s="86">
        <v>2</v>
      </c>
      <c r="G58" s="86" t="s">
        <v>2195</v>
      </c>
      <c r="H58" s="86" t="s">
        <v>2196</v>
      </c>
      <c r="I58" s="375"/>
      <c r="J58" s="377"/>
      <c r="K58" s="375"/>
      <c r="L58" s="375"/>
      <c r="M58" s="375"/>
    </row>
    <row r="59" spans="1:13">
      <c r="A59" s="375">
        <v>27</v>
      </c>
      <c r="B59" s="376"/>
      <c r="C59" s="376" t="s">
        <v>2197</v>
      </c>
      <c r="D59" s="375" t="s">
        <v>2198</v>
      </c>
      <c r="E59" s="375" t="s">
        <v>2167</v>
      </c>
      <c r="F59" s="86">
        <v>1</v>
      </c>
      <c r="G59" s="86" t="s">
        <v>2199</v>
      </c>
      <c r="H59" s="86" t="s">
        <v>2200</v>
      </c>
      <c r="I59" s="375" t="s">
        <v>2086</v>
      </c>
      <c r="J59" s="377"/>
      <c r="K59" s="375"/>
      <c r="L59" s="375"/>
      <c r="M59" s="375"/>
    </row>
    <row r="60" spans="1:13">
      <c r="A60" s="375"/>
      <c r="B60" s="376"/>
      <c r="C60" s="376"/>
      <c r="D60" s="375"/>
      <c r="E60" s="375"/>
      <c r="F60" s="86">
        <v>2</v>
      </c>
      <c r="G60" s="86" t="s">
        <v>2201</v>
      </c>
      <c r="H60" s="86"/>
      <c r="I60" s="375"/>
      <c r="J60" s="377"/>
      <c r="K60" s="375"/>
      <c r="L60" s="375"/>
      <c r="M60" s="375"/>
    </row>
    <row r="61" spans="1:13">
      <c r="A61" s="375">
        <v>28</v>
      </c>
      <c r="B61" s="376"/>
      <c r="C61" s="376" t="s">
        <v>2202</v>
      </c>
      <c r="D61" s="375" t="s">
        <v>2203</v>
      </c>
      <c r="E61" s="375" t="s">
        <v>2167</v>
      </c>
      <c r="F61" s="86">
        <v>1</v>
      </c>
      <c r="G61" s="86" t="s">
        <v>2204</v>
      </c>
      <c r="H61" s="86" t="s">
        <v>2205</v>
      </c>
      <c r="I61" s="375" t="s">
        <v>2045</v>
      </c>
      <c r="J61" s="377"/>
      <c r="K61" s="375"/>
      <c r="L61" s="375"/>
      <c r="M61" s="375"/>
    </row>
    <row r="62" spans="1:13">
      <c r="A62" s="375"/>
      <c r="B62" s="376"/>
      <c r="C62" s="376"/>
      <c r="D62" s="375"/>
      <c r="E62" s="375"/>
      <c r="F62" s="86">
        <v>2</v>
      </c>
      <c r="G62" s="86" t="s">
        <v>2206</v>
      </c>
      <c r="H62" s="86"/>
      <c r="I62" s="375"/>
      <c r="J62" s="377"/>
      <c r="K62" s="375"/>
      <c r="L62" s="375"/>
      <c r="M62" s="375"/>
    </row>
    <row r="63" spans="1:13">
      <c r="A63" s="375">
        <v>29</v>
      </c>
      <c r="B63" s="376"/>
      <c r="C63" s="376" t="s">
        <v>2207</v>
      </c>
      <c r="D63" s="375" t="s">
        <v>2208</v>
      </c>
      <c r="E63" s="375" t="s">
        <v>2167</v>
      </c>
      <c r="F63" s="86">
        <v>1</v>
      </c>
      <c r="G63" s="86" t="s">
        <v>2209</v>
      </c>
      <c r="H63" s="86" t="s">
        <v>2210</v>
      </c>
      <c r="I63" s="375" t="s">
        <v>2086</v>
      </c>
      <c r="J63" s="377"/>
      <c r="K63" s="375"/>
      <c r="L63" s="375"/>
      <c r="M63" s="375"/>
    </row>
    <row r="64" spans="1:13">
      <c r="A64" s="375"/>
      <c r="B64" s="376"/>
      <c r="C64" s="376"/>
      <c r="D64" s="375"/>
      <c r="E64" s="375"/>
      <c r="F64" s="86">
        <v>2</v>
      </c>
      <c r="G64" s="86" t="s">
        <v>2211</v>
      </c>
      <c r="H64" s="86"/>
      <c r="I64" s="375"/>
      <c r="J64" s="377"/>
      <c r="K64" s="375"/>
      <c r="L64" s="375"/>
      <c r="M64" s="375"/>
    </row>
    <row r="65" spans="1:13">
      <c r="A65" s="375">
        <v>30</v>
      </c>
      <c r="B65" s="376"/>
      <c r="C65" s="376" t="s">
        <v>2212</v>
      </c>
      <c r="D65" s="375" t="s">
        <v>2213</v>
      </c>
      <c r="E65" s="375" t="s">
        <v>2167</v>
      </c>
      <c r="F65" s="86">
        <v>1</v>
      </c>
      <c r="G65" s="86" t="s">
        <v>2214</v>
      </c>
      <c r="H65" s="86"/>
      <c r="I65" s="375" t="s">
        <v>2045</v>
      </c>
      <c r="J65" s="377"/>
      <c r="K65" s="375"/>
      <c r="L65" s="375"/>
      <c r="M65" s="375"/>
    </row>
    <row r="66" spans="1:13">
      <c r="A66" s="375"/>
      <c r="B66" s="376"/>
      <c r="C66" s="376"/>
      <c r="D66" s="375"/>
      <c r="E66" s="375"/>
      <c r="F66" s="86">
        <v>2</v>
      </c>
      <c r="G66" s="86" t="s">
        <v>2215</v>
      </c>
      <c r="H66" s="86" t="s">
        <v>2216</v>
      </c>
      <c r="I66" s="375"/>
      <c r="J66" s="377"/>
      <c r="K66" s="375"/>
      <c r="L66" s="375"/>
      <c r="M66" s="375"/>
    </row>
    <row r="67" spans="1:13">
      <c r="A67" s="371">
        <v>31</v>
      </c>
      <c r="B67" s="372" t="s">
        <v>2217</v>
      </c>
      <c r="C67" s="372" t="s">
        <v>2218</v>
      </c>
      <c r="D67" s="371" t="s">
        <v>2219</v>
      </c>
      <c r="E67" s="371" t="s">
        <v>2220</v>
      </c>
      <c r="F67" s="69">
        <v>1</v>
      </c>
      <c r="G67" s="69" t="s">
        <v>2221</v>
      </c>
      <c r="H67" s="69"/>
      <c r="I67" s="371" t="s">
        <v>2086</v>
      </c>
      <c r="J67" s="373" t="s">
        <v>2222</v>
      </c>
      <c r="K67" s="374" t="s">
        <v>992</v>
      </c>
      <c r="L67" s="371" t="s">
        <v>1929</v>
      </c>
      <c r="M67" s="371"/>
    </row>
    <row r="68" spans="1:13">
      <c r="A68" s="371"/>
      <c r="B68" s="372"/>
      <c r="C68" s="372"/>
      <c r="D68" s="371"/>
      <c r="E68" s="371"/>
      <c r="F68" s="69">
        <v>2</v>
      </c>
      <c r="G68" s="69" t="s">
        <v>2223</v>
      </c>
      <c r="H68" s="69" t="s">
        <v>945</v>
      </c>
      <c r="I68" s="371"/>
      <c r="J68" s="373"/>
      <c r="K68" s="371"/>
      <c r="L68" s="371"/>
      <c r="M68" s="371"/>
    </row>
    <row r="69" spans="1:13">
      <c r="A69" s="371">
        <v>32</v>
      </c>
      <c r="B69" s="372"/>
      <c r="C69" s="372" t="s">
        <v>2224</v>
      </c>
      <c r="D69" s="371" t="s">
        <v>2225</v>
      </c>
      <c r="E69" s="371" t="s">
        <v>2220</v>
      </c>
      <c r="F69" s="69">
        <v>1</v>
      </c>
      <c r="G69" s="69" t="s">
        <v>2221</v>
      </c>
      <c r="H69" s="69"/>
      <c r="I69" s="371" t="s">
        <v>2045</v>
      </c>
      <c r="J69" s="373" t="s">
        <v>2226</v>
      </c>
      <c r="K69" s="374" t="s">
        <v>992</v>
      </c>
      <c r="L69" s="371" t="s">
        <v>1929</v>
      </c>
      <c r="M69" s="371"/>
    </row>
    <row r="70" spans="1:13">
      <c r="A70" s="371"/>
      <c r="B70" s="372"/>
      <c r="C70" s="372"/>
      <c r="D70" s="371"/>
      <c r="E70" s="371"/>
      <c r="F70" s="69">
        <v>2</v>
      </c>
      <c r="G70" s="69" t="s">
        <v>2227</v>
      </c>
      <c r="H70" s="69" t="s">
        <v>945</v>
      </c>
      <c r="I70" s="371"/>
      <c r="J70" s="373"/>
      <c r="K70" s="371"/>
      <c r="L70" s="371"/>
      <c r="M70" s="371"/>
    </row>
    <row r="71" spans="1:13">
      <c r="A71" s="371">
        <v>33</v>
      </c>
      <c r="B71" s="372"/>
      <c r="C71" s="372" t="s">
        <v>2228</v>
      </c>
      <c r="D71" s="371" t="s">
        <v>2229</v>
      </c>
      <c r="E71" s="371" t="s">
        <v>2220</v>
      </c>
      <c r="F71" s="69">
        <v>1</v>
      </c>
      <c r="G71" s="69" t="s">
        <v>2230</v>
      </c>
      <c r="H71" s="69" t="s">
        <v>2231</v>
      </c>
      <c r="I71" s="371" t="s">
        <v>2045</v>
      </c>
      <c r="J71" s="373" t="s">
        <v>2232</v>
      </c>
      <c r="K71" s="374" t="s">
        <v>992</v>
      </c>
      <c r="L71" s="371" t="s">
        <v>1929</v>
      </c>
      <c r="M71" s="371"/>
    </row>
    <row r="72" spans="1:13">
      <c r="A72" s="371"/>
      <c r="B72" s="372"/>
      <c r="C72" s="372"/>
      <c r="D72" s="371"/>
      <c r="E72" s="371"/>
      <c r="F72" s="69">
        <v>2</v>
      </c>
      <c r="G72" s="69" t="s">
        <v>1930</v>
      </c>
      <c r="H72" s="69"/>
      <c r="I72" s="371"/>
      <c r="J72" s="373"/>
      <c r="K72" s="371"/>
      <c r="L72" s="371"/>
      <c r="M72" s="371"/>
    </row>
    <row r="73" spans="1:13">
      <c r="A73" s="371">
        <v>34</v>
      </c>
      <c r="B73" s="372"/>
      <c r="C73" s="372" t="s">
        <v>2233</v>
      </c>
      <c r="D73" s="371" t="s">
        <v>2234</v>
      </c>
      <c r="E73" s="371" t="s">
        <v>2220</v>
      </c>
      <c r="F73" s="69">
        <v>1</v>
      </c>
      <c r="G73" s="69" t="s">
        <v>2235</v>
      </c>
      <c r="H73" s="69"/>
      <c r="I73" s="371" t="s">
        <v>2045</v>
      </c>
      <c r="J73" s="373" t="s">
        <v>2236</v>
      </c>
      <c r="K73" s="374" t="s">
        <v>992</v>
      </c>
      <c r="L73" s="371" t="s">
        <v>1929</v>
      </c>
      <c r="M73" s="371"/>
    </row>
    <row r="74" spans="1:13">
      <c r="A74" s="371"/>
      <c r="B74" s="372"/>
      <c r="C74" s="372"/>
      <c r="D74" s="371"/>
      <c r="E74" s="371"/>
      <c r="F74" s="69">
        <v>2</v>
      </c>
      <c r="G74" s="69" t="s">
        <v>2237</v>
      </c>
      <c r="H74" s="69" t="s">
        <v>945</v>
      </c>
      <c r="I74" s="371"/>
      <c r="J74" s="373"/>
      <c r="K74" s="371"/>
      <c r="L74" s="371"/>
      <c r="M74" s="371"/>
    </row>
    <row r="75" spans="1:13">
      <c r="A75" s="371">
        <v>35</v>
      </c>
      <c r="B75" s="372"/>
      <c r="C75" s="372" t="s">
        <v>2238</v>
      </c>
      <c r="D75" s="371" t="s">
        <v>2239</v>
      </c>
      <c r="E75" s="371" t="s">
        <v>2220</v>
      </c>
      <c r="F75" s="69">
        <v>1</v>
      </c>
      <c r="G75" s="69" t="s">
        <v>2240</v>
      </c>
      <c r="H75" s="69"/>
      <c r="I75" s="371" t="s">
        <v>2086</v>
      </c>
      <c r="J75" s="373" t="s">
        <v>2241</v>
      </c>
      <c r="K75" s="374" t="s">
        <v>992</v>
      </c>
      <c r="L75" s="371" t="s">
        <v>1929</v>
      </c>
      <c r="M75" s="371"/>
    </row>
    <row r="76" spans="1:13">
      <c r="A76" s="371"/>
      <c r="B76" s="372"/>
      <c r="C76" s="372"/>
      <c r="D76" s="371"/>
      <c r="E76" s="371"/>
      <c r="F76" s="69">
        <v>2</v>
      </c>
      <c r="G76" s="69" t="s">
        <v>2242</v>
      </c>
      <c r="H76" s="69" t="s">
        <v>2243</v>
      </c>
      <c r="I76" s="371"/>
      <c r="J76" s="373"/>
      <c r="K76" s="371"/>
      <c r="L76" s="371"/>
      <c r="M76" s="371"/>
    </row>
    <row r="77" spans="1:13">
      <c r="A77" s="371">
        <v>36</v>
      </c>
      <c r="B77" s="372"/>
      <c r="C77" s="372" t="s">
        <v>2244</v>
      </c>
      <c r="D77" s="371" t="s">
        <v>2245</v>
      </c>
      <c r="E77" s="371" t="s">
        <v>2220</v>
      </c>
      <c r="F77" s="69">
        <v>1</v>
      </c>
      <c r="G77" s="69" t="s">
        <v>2246</v>
      </c>
      <c r="H77" s="69"/>
      <c r="I77" s="371" t="s">
        <v>2045</v>
      </c>
      <c r="J77" s="373" t="s">
        <v>2247</v>
      </c>
      <c r="K77" s="374" t="s">
        <v>992</v>
      </c>
      <c r="L77" s="371" t="s">
        <v>1929</v>
      </c>
      <c r="M77" s="371"/>
    </row>
    <row r="78" spans="1:13">
      <c r="A78" s="371"/>
      <c r="B78" s="372"/>
      <c r="C78" s="372"/>
      <c r="D78" s="371"/>
      <c r="E78" s="371"/>
      <c r="F78" s="69">
        <v>2</v>
      </c>
      <c r="G78" s="69" t="s">
        <v>2248</v>
      </c>
      <c r="H78" s="69" t="s">
        <v>2249</v>
      </c>
      <c r="I78" s="371"/>
      <c r="J78" s="373"/>
      <c r="K78" s="371"/>
      <c r="L78" s="371"/>
      <c r="M78" s="371"/>
    </row>
    <row r="79" spans="1:13">
      <c r="A79" s="371">
        <v>37</v>
      </c>
      <c r="B79" s="372"/>
      <c r="C79" s="372" t="s">
        <v>2250</v>
      </c>
      <c r="D79" s="371" t="s">
        <v>2251</v>
      </c>
      <c r="E79" s="371" t="s">
        <v>2252</v>
      </c>
      <c r="F79" s="69">
        <v>1</v>
      </c>
      <c r="G79" s="69" t="s">
        <v>2253</v>
      </c>
      <c r="H79" s="69"/>
      <c r="I79" s="371" t="s">
        <v>2086</v>
      </c>
      <c r="J79" s="373" t="s">
        <v>2254</v>
      </c>
      <c r="K79" s="374" t="s">
        <v>992</v>
      </c>
      <c r="L79" s="371" t="s">
        <v>1929</v>
      </c>
      <c r="M79" s="371"/>
    </row>
    <row r="80" spans="1:13">
      <c r="A80" s="371"/>
      <c r="B80" s="372"/>
      <c r="C80" s="372"/>
      <c r="D80" s="371"/>
      <c r="E80" s="371"/>
      <c r="F80" s="69">
        <v>2</v>
      </c>
      <c r="G80" s="69" t="s">
        <v>2255</v>
      </c>
      <c r="H80" s="69" t="s">
        <v>2256</v>
      </c>
      <c r="I80" s="371"/>
      <c r="J80" s="373"/>
      <c r="K80" s="371"/>
      <c r="L80" s="371"/>
      <c r="M80" s="371"/>
    </row>
    <row r="81" spans="1:13">
      <c r="A81" s="371">
        <v>38</v>
      </c>
      <c r="B81" s="372"/>
      <c r="C81" s="372" t="s">
        <v>2257</v>
      </c>
      <c r="D81" s="371" t="s">
        <v>2258</v>
      </c>
      <c r="E81" s="371" t="s">
        <v>2259</v>
      </c>
      <c r="F81" s="69">
        <v>1</v>
      </c>
      <c r="G81" s="69" t="s">
        <v>2260</v>
      </c>
      <c r="H81" s="69"/>
      <c r="I81" s="371" t="s">
        <v>2045</v>
      </c>
      <c r="J81" s="373" t="s">
        <v>2261</v>
      </c>
      <c r="K81" s="374" t="s">
        <v>992</v>
      </c>
      <c r="L81" s="371" t="s">
        <v>1929</v>
      </c>
      <c r="M81" s="371"/>
    </row>
    <row r="82" spans="1:13">
      <c r="A82" s="371"/>
      <c r="B82" s="372"/>
      <c r="C82" s="372"/>
      <c r="D82" s="371"/>
      <c r="E82" s="371"/>
      <c r="F82" s="69">
        <v>2</v>
      </c>
      <c r="G82" s="69" t="s">
        <v>2262</v>
      </c>
      <c r="H82" s="69" t="s">
        <v>2263</v>
      </c>
      <c r="I82" s="371"/>
      <c r="J82" s="373"/>
      <c r="K82" s="371"/>
      <c r="L82" s="371"/>
      <c r="M82" s="371"/>
    </row>
    <row r="83" spans="1:13">
      <c r="A83" s="371">
        <v>39</v>
      </c>
      <c r="B83" s="372"/>
      <c r="C83" s="372" t="s">
        <v>2264</v>
      </c>
      <c r="D83" s="371" t="s">
        <v>2265</v>
      </c>
      <c r="E83" s="371" t="s">
        <v>2266</v>
      </c>
      <c r="F83" s="69">
        <v>1</v>
      </c>
      <c r="G83" s="69" t="s">
        <v>2267</v>
      </c>
      <c r="H83" s="69"/>
      <c r="I83" s="371" t="s">
        <v>2086</v>
      </c>
      <c r="J83" s="373" t="s">
        <v>2268</v>
      </c>
      <c r="K83" s="374" t="s">
        <v>992</v>
      </c>
      <c r="L83" s="371" t="s">
        <v>1929</v>
      </c>
      <c r="M83" s="371"/>
    </row>
    <row r="84" spans="1:13">
      <c r="A84" s="371"/>
      <c r="B84" s="372"/>
      <c r="C84" s="372"/>
      <c r="D84" s="371"/>
      <c r="E84" s="371"/>
      <c r="F84" s="69">
        <v>2</v>
      </c>
      <c r="G84" s="69" t="s">
        <v>2269</v>
      </c>
      <c r="H84" s="69" t="s">
        <v>2270</v>
      </c>
      <c r="I84" s="371"/>
      <c r="J84" s="373"/>
      <c r="K84" s="371"/>
      <c r="L84" s="371"/>
      <c r="M84" s="371"/>
    </row>
    <row r="85" spans="1:13">
      <c r="A85" s="371">
        <v>40</v>
      </c>
      <c r="B85" s="372"/>
      <c r="C85" s="372" t="s">
        <v>2271</v>
      </c>
      <c r="D85" s="371" t="s">
        <v>2272</v>
      </c>
      <c r="E85" s="371"/>
      <c r="F85" s="69">
        <v>1</v>
      </c>
      <c r="G85" s="69" t="s">
        <v>2267</v>
      </c>
      <c r="H85" s="69"/>
      <c r="I85" s="371" t="s">
        <v>2086</v>
      </c>
      <c r="J85" s="373" t="s">
        <v>2273</v>
      </c>
      <c r="K85" s="374" t="s">
        <v>992</v>
      </c>
      <c r="L85" s="371" t="s">
        <v>1929</v>
      </c>
      <c r="M85" s="371"/>
    </row>
    <row r="86" spans="1:13">
      <c r="A86" s="371"/>
      <c r="B86" s="372"/>
      <c r="C86" s="372"/>
      <c r="D86" s="371"/>
      <c r="E86" s="371"/>
      <c r="F86" s="69">
        <v>2</v>
      </c>
      <c r="G86" s="69" t="s">
        <v>2269</v>
      </c>
      <c r="H86" s="69" t="s">
        <v>2270</v>
      </c>
      <c r="I86" s="371"/>
      <c r="J86" s="373"/>
      <c r="K86" s="371"/>
      <c r="L86" s="371"/>
      <c r="M86" s="371"/>
    </row>
  </sheetData>
  <mergeCells count="368">
    <mergeCell ref="M1:M2"/>
    <mergeCell ref="A2:J2"/>
    <mergeCell ref="A3:A4"/>
    <mergeCell ref="B3:B22"/>
    <mergeCell ref="C3:C4"/>
    <mergeCell ref="D3:D4"/>
    <mergeCell ref="E3:E4"/>
    <mergeCell ref="I3:I4"/>
    <mergeCell ref="J3:J4"/>
    <mergeCell ref="K3:K4"/>
    <mergeCell ref="L3:L4"/>
    <mergeCell ref="M3:M4"/>
    <mergeCell ref="A5:A6"/>
    <mergeCell ref="C5:C6"/>
    <mergeCell ref="I5:I6"/>
    <mergeCell ref="J5:J6"/>
    <mergeCell ref="K1:K2"/>
    <mergeCell ref="L1:L2"/>
    <mergeCell ref="A9:A10"/>
    <mergeCell ref="C9:C10"/>
    <mergeCell ref="D9:D10"/>
    <mergeCell ref="L5:L6"/>
    <mergeCell ref="E9:E10"/>
    <mergeCell ref="I9:I10"/>
    <mergeCell ref="J9:J10"/>
    <mergeCell ref="K9:K10"/>
    <mergeCell ref="L9:L10"/>
    <mergeCell ref="M5:M6"/>
    <mergeCell ref="A7:A8"/>
    <mergeCell ref="C7:C8"/>
    <mergeCell ref="D7:D8"/>
    <mergeCell ref="E7:E8"/>
    <mergeCell ref="I7:I8"/>
    <mergeCell ref="J7:J8"/>
    <mergeCell ref="K7:K8"/>
    <mergeCell ref="L7:L8"/>
    <mergeCell ref="M7:M8"/>
    <mergeCell ref="D5:D6"/>
    <mergeCell ref="E5:E6"/>
    <mergeCell ref="K5:K6"/>
    <mergeCell ref="A11:A13"/>
    <mergeCell ref="C11:C13"/>
    <mergeCell ref="D11:D13"/>
    <mergeCell ref="E11:E13"/>
    <mergeCell ref="I11:I13"/>
    <mergeCell ref="M9:M10"/>
    <mergeCell ref="J11:J13"/>
    <mergeCell ref="K11:K13"/>
    <mergeCell ref="L11:L13"/>
    <mergeCell ref="M11:M13"/>
    <mergeCell ref="K14:K16"/>
    <mergeCell ref="L14:L16"/>
    <mergeCell ref="M14:M16"/>
    <mergeCell ref="J14:J16"/>
    <mergeCell ref="L17:L19"/>
    <mergeCell ref="M17:M19"/>
    <mergeCell ref="E20:E22"/>
    <mergeCell ref="I20:I22"/>
    <mergeCell ref="A14:A16"/>
    <mergeCell ref="C14:C16"/>
    <mergeCell ref="D14:D16"/>
    <mergeCell ref="E14:E16"/>
    <mergeCell ref="I14:I16"/>
    <mergeCell ref="E17:E19"/>
    <mergeCell ref="I17:I19"/>
    <mergeCell ref="J20:J22"/>
    <mergeCell ref="K20:K22"/>
    <mergeCell ref="L20:L22"/>
    <mergeCell ref="M20:M22"/>
    <mergeCell ref="J17:J19"/>
    <mergeCell ref="K17:K19"/>
    <mergeCell ref="A17:A19"/>
    <mergeCell ref="C17:C19"/>
    <mergeCell ref="D17:D19"/>
    <mergeCell ref="C31:C32"/>
    <mergeCell ref="D31:D32"/>
    <mergeCell ref="A20:A22"/>
    <mergeCell ref="C20:C22"/>
    <mergeCell ref="D20:D22"/>
    <mergeCell ref="E31:E32"/>
    <mergeCell ref="A39:A40"/>
    <mergeCell ref="C39:C40"/>
    <mergeCell ref="D39:D40"/>
    <mergeCell ref="E39:E40"/>
    <mergeCell ref="A33:A34"/>
    <mergeCell ref="C33:C34"/>
    <mergeCell ref="D33:D34"/>
    <mergeCell ref="E33:E34"/>
    <mergeCell ref="D35:D36"/>
    <mergeCell ref="E35:E36"/>
    <mergeCell ref="A41:A42"/>
    <mergeCell ref="C41:C42"/>
    <mergeCell ref="D41:D42"/>
    <mergeCell ref="E41:E42"/>
    <mergeCell ref="D23:D24"/>
    <mergeCell ref="E23:E24"/>
    <mergeCell ref="A25:A26"/>
    <mergeCell ref="C25:C26"/>
    <mergeCell ref="D25:D26"/>
    <mergeCell ref="E25:E26"/>
    <mergeCell ref="A37:A38"/>
    <mergeCell ref="C37:C38"/>
    <mergeCell ref="D37:D38"/>
    <mergeCell ref="E37:E38"/>
    <mergeCell ref="A35:A36"/>
    <mergeCell ref="C35:C36"/>
    <mergeCell ref="L29:L30"/>
    <mergeCell ref="M29:M30"/>
    <mergeCell ref="A31:A32"/>
    <mergeCell ref="I23:I24"/>
    <mergeCell ref="J23:J24"/>
    <mergeCell ref="K23:K24"/>
    <mergeCell ref="L23:L24"/>
    <mergeCell ref="M23:M24"/>
    <mergeCell ref="I25:I26"/>
    <mergeCell ref="J25:J26"/>
    <mergeCell ref="K25:K26"/>
    <mergeCell ref="L25:L26"/>
    <mergeCell ref="M25:M26"/>
    <mergeCell ref="A23:A24"/>
    <mergeCell ref="B23:B42"/>
    <mergeCell ref="C23:C24"/>
    <mergeCell ref="K27:K28"/>
    <mergeCell ref="L27:L28"/>
    <mergeCell ref="M27:M28"/>
    <mergeCell ref="A29:A30"/>
    <mergeCell ref="C29:C30"/>
    <mergeCell ref="D29:D30"/>
    <mergeCell ref="E29:E30"/>
    <mergeCell ref="I29:I30"/>
    <mergeCell ref="J29:J30"/>
    <mergeCell ref="K29:K30"/>
    <mergeCell ref="A27:A28"/>
    <mergeCell ref="C27:C28"/>
    <mergeCell ref="D27:D28"/>
    <mergeCell ref="E27:E28"/>
    <mergeCell ref="I27:I28"/>
    <mergeCell ref="J27:J28"/>
    <mergeCell ref="L37:L38"/>
    <mergeCell ref="M37:M38"/>
    <mergeCell ref="I33:I34"/>
    <mergeCell ref="J33:J34"/>
    <mergeCell ref="K33:K34"/>
    <mergeCell ref="L33:L34"/>
    <mergeCell ref="M33:M34"/>
    <mergeCell ref="K35:K36"/>
    <mergeCell ref="L35:L36"/>
    <mergeCell ref="M35:M36"/>
    <mergeCell ref="I37:I38"/>
    <mergeCell ref="J37:J38"/>
    <mergeCell ref="K37:K38"/>
    <mergeCell ref="I35:I36"/>
    <mergeCell ref="J35:J36"/>
    <mergeCell ref="I31:I32"/>
    <mergeCell ref="J31:J32"/>
    <mergeCell ref="K31:K32"/>
    <mergeCell ref="L31:L32"/>
    <mergeCell ref="M31:M32"/>
    <mergeCell ref="I41:I42"/>
    <mergeCell ref="J41:J42"/>
    <mergeCell ref="K41:K42"/>
    <mergeCell ref="L41:L42"/>
    <mergeCell ref="M41:M42"/>
    <mergeCell ref="I39:I40"/>
    <mergeCell ref="J39:J40"/>
    <mergeCell ref="K39:K40"/>
    <mergeCell ref="L39:L40"/>
    <mergeCell ref="M39:M40"/>
    <mergeCell ref="M43:M44"/>
    <mergeCell ref="A57:A58"/>
    <mergeCell ref="C57:C58"/>
    <mergeCell ref="D57:D58"/>
    <mergeCell ref="E57:E58"/>
    <mergeCell ref="A55:A56"/>
    <mergeCell ref="C55:C56"/>
    <mergeCell ref="D55:D56"/>
    <mergeCell ref="E55:E56"/>
    <mergeCell ref="I43:I44"/>
    <mergeCell ref="A53:A54"/>
    <mergeCell ref="C53:C54"/>
    <mergeCell ref="D53:D54"/>
    <mergeCell ref="E53:E54"/>
    <mergeCell ref="A49:A50"/>
    <mergeCell ref="C49:C50"/>
    <mergeCell ref="A63:A64"/>
    <mergeCell ref="C63:C64"/>
    <mergeCell ref="J43:J44"/>
    <mergeCell ref="K43:K44"/>
    <mergeCell ref="L43:L44"/>
    <mergeCell ref="D49:D50"/>
    <mergeCell ref="E49:E50"/>
    <mergeCell ref="I49:I50"/>
    <mergeCell ref="A45:A46"/>
    <mergeCell ref="C45:C46"/>
    <mergeCell ref="A61:A62"/>
    <mergeCell ref="C61:C62"/>
    <mergeCell ref="D61:D62"/>
    <mergeCell ref="E61:E62"/>
    <mergeCell ref="I61:I62"/>
    <mergeCell ref="D45:D46"/>
    <mergeCell ref="E45:E46"/>
    <mergeCell ref="I45:I46"/>
    <mergeCell ref="A51:A52"/>
    <mergeCell ref="A43:A44"/>
    <mergeCell ref="B43:B66"/>
    <mergeCell ref="C43:C44"/>
    <mergeCell ref="D43:D44"/>
    <mergeCell ref="E43:E44"/>
    <mergeCell ref="C51:C52"/>
    <mergeCell ref="D51:D52"/>
    <mergeCell ref="E51:E52"/>
    <mergeCell ref="A59:A60"/>
    <mergeCell ref="C59:C60"/>
    <mergeCell ref="D59:D60"/>
    <mergeCell ref="E59:E60"/>
    <mergeCell ref="A47:A48"/>
    <mergeCell ref="C47:C48"/>
    <mergeCell ref="D47:D48"/>
    <mergeCell ref="E47:E48"/>
    <mergeCell ref="I47:I48"/>
    <mergeCell ref="K51:K52"/>
    <mergeCell ref="L51:L52"/>
    <mergeCell ref="M51:M52"/>
    <mergeCell ref="I55:I56"/>
    <mergeCell ref="K45:K46"/>
    <mergeCell ref="L45:L46"/>
    <mergeCell ref="M45:M46"/>
    <mergeCell ref="J47:J48"/>
    <mergeCell ref="K47:K48"/>
    <mergeCell ref="L47:L48"/>
    <mergeCell ref="M47:M48"/>
    <mergeCell ref="J45:J46"/>
    <mergeCell ref="I59:I60"/>
    <mergeCell ref="J49:J50"/>
    <mergeCell ref="K49:K50"/>
    <mergeCell ref="L49:L50"/>
    <mergeCell ref="M49:M50"/>
    <mergeCell ref="J55:J56"/>
    <mergeCell ref="K55:K56"/>
    <mergeCell ref="L55:L56"/>
    <mergeCell ref="M55:M56"/>
    <mergeCell ref="I53:I54"/>
    <mergeCell ref="J53:J54"/>
    <mergeCell ref="K53:K54"/>
    <mergeCell ref="L53:L54"/>
    <mergeCell ref="M53:M54"/>
    <mergeCell ref="I51:I52"/>
    <mergeCell ref="J51:J52"/>
    <mergeCell ref="I57:I58"/>
    <mergeCell ref="J57:J58"/>
    <mergeCell ref="K57:K58"/>
    <mergeCell ref="L57:L58"/>
    <mergeCell ref="M57:M58"/>
    <mergeCell ref="J61:J62"/>
    <mergeCell ref="K61:K62"/>
    <mergeCell ref="L61:L62"/>
    <mergeCell ref="M61:M62"/>
    <mergeCell ref="J59:J60"/>
    <mergeCell ref="K59:K60"/>
    <mergeCell ref="L59:L60"/>
    <mergeCell ref="M59:M60"/>
    <mergeCell ref="M63:M64"/>
    <mergeCell ref="K65:K66"/>
    <mergeCell ref="L65:L66"/>
    <mergeCell ref="M65:M66"/>
    <mergeCell ref="J65:J66"/>
    <mergeCell ref="L63:L64"/>
    <mergeCell ref="C73:C74"/>
    <mergeCell ref="D73:D74"/>
    <mergeCell ref="E73:E74"/>
    <mergeCell ref="L67:L68"/>
    <mergeCell ref="L71:L72"/>
    <mergeCell ref="I65:I66"/>
    <mergeCell ref="E75:E76"/>
    <mergeCell ref="I81:I82"/>
    <mergeCell ref="J81:J82"/>
    <mergeCell ref="K81:K82"/>
    <mergeCell ref="D63:D64"/>
    <mergeCell ref="E63:E64"/>
    <mergeCell ref="I63:I64"/>
    <mergeCell ref="J63:J64"/>
    <mergeCell ref="K63:K64"/>
    <mergeCell ref="A65:A66"/>
    <mergeCell ref="C65:C66"/>
    <mergeCell ref="D65:D66"/>
    <mergeCell ref="E65:E66"/>
    <mergeCell ref="K67:K68"/>
    <mergeCell ref="E67:E68"/>
    <mergeCell ref="A67:A68"/>
    <mergeCell ref="B67:B86"/>
    <mergeCell ref="C67:C68"/>
    <mergeCell ref="D67:D68"/>
    <mergeCell ref="K75:K76"/>
    <mergeCell ref="A83:A84"/>
    <mergeCell ref="C83:C84"/>
    <mergeCell ref="D83:D84"/>
    <mergeCell ref="E83:E84"/>
    <mergeCell ref="I83:I84"/>
    <mergeCell ref="A73:A74"/>
    <mergeCell ref="I71:I72"/>
    <mergeCell ref="J71:J72"/>
    <mergeCell ref="A81:A82"/>
    <mergeCell ref="C81:C82"/>
    <mergeCell ref="D81:D82"/>
    <mergeCell ref="E81:E82"/>
    <mergeCell ref="A77:A78"/>
    <mergeCell ref="C77:C78"/>
    <mergeCell ref="D77:D78"/>
    <mergeCell ref="E77:E78"/>
    <mergeCell ref="I77:I78"/>
    <mergeCell ref="J77:J78"/>
    <mergeCell ref="A75:A76"/>
    <mergeCell ref="C75:C76"/>
    <mergeCell ref="D75:D76"/>
    <mergeCell ref="A71:A72"/>
    <mergeCell ref="C71:C72"/>
    <mergeCell ref="D71:D72"/>
    <mergeCell ref="E71:E72"/>
    <mergeCell ref="M67:M68"/>
    <mergeCell ref="A69:A70"/>
    <mergeCell ref="C69:C70"/>
    <mergeCell ref="D69:D70"/>
    <mergeCell ref="E69:E70"/>
    <mergeCell ref="I69:I70"/>
    <mergeCell ref="J69:J70"/>
    <mergeCell ref="K69:K70"/>
    <mergeCell ref="L69:L70"/>
    <mergeCell ref="M69:M70"/>
    <mergeCell ref="I67:I68"/>
    <mergeCell ref="J67:J68"/>
    <mergeCell ref="L75:L76"/>
    <mergeCell ref="M75:M76"/>
    <mergeCell ref="I75:I76"/>
    <mergeCell ref="J75:J76"/>
    <mergeCell ref="M71:M72"/>
    <mergeCell ref="I73:I74"/>
    <mergeCell ref="J73:J74"/>
    <mergeCell ref="K73:K74"/>
    <mergeCell ref="L73:L74"/>
    <mergeCell ref="M73:M74"/>
    <mergeCell ref="K71:K72"/>
    <mergeCell ref="L77:L78"/>
    <mergeCell ref="M77:M78"/>
    <mergeCell ref="A79:A80"/>
    <mergeCell ref="C79:C80"/>
    <mergeCell ref="D79:D80"/>
    <mergeCell ref="E79:E80"/>
    <mergeCell ref="I79:I80"/>
    <mergeCell ref="J79:J80"/>
    <mergeCell ref="K79:K80"/>
    <mergeCell ref="L79:L80"/>
    <mergeCell ref="M79:M80"/>
    <mergeCell ref="K77:K78"/>
    <mergeCell ref="L81:L82"/>
    <mergeCell ref="J85:J86"/>
    <mergeCell ref="K85:K86"/>
    <mergeCell ref="J83:J84"/>
    <mergeCell ref="M81:M82"/>
    <mergeCell ref="L85:L86"/>
    <mergeCell ref="M85:M86"/>
    <mergeCell ref="K83:K84"/>
    <mergeCell ref="L83:L84"/>
    <mergeCell ref="M83:M84"/>
    <mergeCell ref="A85:A86"/>
    <mergeCell ref="C85:C86"/>
    <mergeCell ref="D85:D86"/>
    <mergeCell ref="E85:E86"/>
    <mergeCell ref="I85:I8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 Page</vt:lpstr>
      <vt:lpstr>Test Requirements</vt:lpstr>
      <vt:lpstr>Test Scenario</vt:lpstr>
      <vt:lpstr>Test Req Intergration</vt:lpstr>
      <vt:lpstr>Integration TestCase</vt:lpstr>
      <vt:lpstr>TCs - F1</vt:lpstr>
      <vt:lpstr>TCs - F2</vt:lpstr>
      <vt:lpstr>TCs - F3</vt:lpstr>
      <vt:lpstr>TCs - F4</vt:lpstr>
      <vt:lpstr>TCs - F5</vt:lpstr>
      <vt:lpstr>TCs - F6</vt:lpstr>
      <vt:lpstr>TCs - F7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</dc:creator>
  <cp:keywords>EPPlus noncommercial use</cp:keywords>
  <dc:description>This workbook has been created with EPPlus licensed to Danh under The Polyform Noncommercial License: See https://polyformproject.org/licenses/noncommercial/1.0.0</dc:description>
  <cp:lastModifiedBy>Nguyễn Minh Danh</cp:lastModifiedBy>
  <cp:revision/>
  <dcterms:created xsi:type="dcterms:W3CDTF">2026-03-06T13:11:33Z</dcterms:created>
  <dcterms:modified xsi:type="dcterms:W3CDTF">2026-04-12T15:53:06Z</dcterms:modified>
  <cp:category/>
  <cp:contentStatus/>
</cp:coreProperties>
</file>